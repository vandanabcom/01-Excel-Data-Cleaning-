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HIT VERMA\Downloads\"/>
    </mc:Choice>
  </mc:AlternateContent>
  <xr:revisionPtr revIDLastSave="0" documentId="13_ncr:1_{7701B109-07C7-46A0-B17D-12D615AA2E6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clean data" sheetId="2" r:id="rId2"/>
    <sheet name="summary" sheetId="3" r:id="rId3"/>
  </sheets>
  <externalReferences>
    <externalReference r:id="rId4"/>
  </externalReferences>
  <definedNames>
    <definedName name="_xlnm._FilterDatabase" localSheetId="1" hidden="1">'clean data'!$D$1:$D$101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18" i="3"/>
  <c r="F16" i="3"/>
  <c r="F14" i="3"/>
  <c r="F12" i="3"/>
  <c r="F6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I2" i="2" a="1"/>
  <c r="I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<sst xmlns="http://schemas.openxmlformats.org/spreadsheetml/2006/main" count="1125" uniqueCount="295">
  <si>
    <t>Customer ID</t>
  </si>
  <si>
    <t>Customer Name</t>
  </si>
  <si>
    <t>City</t>
  </si>
  <si>
    <t>Phone Number</t>
  </si>
  <si>
    <t>Email</t>
  </si>
  <si>
    <t>Gender</t>
  </si>
  <si>
    <t>Age</t>
  </si>
  <si>
    <t>C001</t>
  </si>
  <si>
    <t>Rahul Sharma</t>
  </si>
  <si>
    <t>Delhi</t>
  </si>
  <si>
    <t>9196361468</t>
  </si>
  <si>
    <t>rahul.sharma@gmail.com</t>
  </si>
  <si>
    <t>Male</t>
  </si>
  <si>
    <t>C002</t>
  </si>
  <si>
    <t>priya verma</t>
  </si>
  <si>
    <t xml:space="preserve"> Ahmedabad</t>
  </si>
  <si>
    <t>9501869335</t>
  </si>
  <si>
    <t>priya.verma@gmail.com</t>
  </si>
  <si>
    <t>Female</t>
  </si>
  <si>
    <t>C003</t>
  </si>
  <si>
    <t>RIYA SHARMA</t>
  </si>
  <si>
    <t>Jaipur</t>
  </si>
  <si>
    <t>riya.sharma@gmail.com</t>
  </si>
  <si>
    <t>C004</t>
  </si>
  <si>
    <t>ROHIT GUPTA</t>
  </si>
  <si>
    <t>Lucknow</t>
  </si>
  <si>
    <t>91280</t>
  </si>
  <si>
    <t>rohit.gupta@gmail.com</t>
  </si>
  <si>
    <t>C005</t>
  </si>
  <si>
    <t>VIKAS YADAV</t>
  </si>
  <si>
    <t>9402823002</t>
  </si>
  <si>
    <t>vikas.yadav@gmail.com</t>
  </si>
  <si>
    <t>C006</t>
  </si>
  <si>
    <t>Neha Singh</t>
  </si>
  <si>
    <t>Chandigarh</t>
  </si>
  <si>
    <t>9108933969</t>
  </si>
  <si>
    <t>C007</t>
  </si>
  <si>
    <t>Arjun Mehta</t>
  </si>
  <si>
    <t>Pune</t>
  </si>
  <si>
    <t>9658582040</t>
  </si>
  <si>
    <t>arjun.mehta@gmail.com</t>
  </si>
  <si>
    <t>C008</t>
  </si>
  <si>
    <t>Mohan Das</t>
  </si>
  <si>
    <t>chandigarh</t>
  </si>
  <si>
    <t>9087216808</t>
  </si>
  <si>
    <t>mohan.das@gmail.com</t>
  </si>
  <si>
    <t>C009</t>
  </si>
  <si>
    <t>Suresh Kumar</t>
  </si>
  <si>
    <t>94661</t>
  </si>
  <si>
    <t>suresh.kumar@gmail.com</t>
  </si>
  <si>
    <t>C010</t>
  </si>
  <si>
    <t>delhi</t>
  </si>
  <si>
    <t>9488028597</t>
  </si>
  <si>
    <t>C011</t>
  </si>
  <si>
    <t>Priya Verma</t>
  </si>
  <si>
    <t>Mumbai</t>
  </si>
  <si>
    <t>9576153728</t>
  </si>
  <si>
    <t>C012</t>
  </si>
  <si>
    <t>Pooja Sharma</t>
  </si>
  <si>
    <t>9255162375</t>
  </si>
  <si>
    <t>pooja.sharma@gmail.com</t>
  </si>
  <si>
    <t>C013</t>
  </si>
  <si>
    <t>9900188453</t>
  </si>
  <si>
    <t>C014</t>
  </si>
  <si>
    <t>MUMBAI</t>
  </si>
  <si>
    <t>9931544828</t>
  </si>
  <si>
    <t>C015</t>
  </si>
  <si>
    <t>9298313295</t>
  </si>
  <si>
    <t>neha.singh@gmail.com</t>
  </si>
  <si>
    <t>C016</t>
  </si>
  <si>
    <t>Sneha Roy</t>
  </si>
  <si>
    <t>9437088610</t>
  </si>
  <si>
    <t>sneha.roy@gmail.com</t>
  </si>
  <si>
    <t>C017</t>
  </si>
  <si>
    <t>Amit Kumar</t>
  </si>
  <si>
    <t>9957918670</t>
  </si>
  <si>
    <t>amit.kumar@gmail.com</t>
  </si>
  <si>
    <t>C018</t>
  </si>
  <si>
    <t>amit kumar</t>
  </si>
  <si>
    <t>Ahmedabad</t>
  </si>
  <si>
    <t>9297906224</t>
  </si>
  <si>
    <t>C019</t>
  </si>
  <si>
    <t>Karan Patel</t>
  </si>
  <si>
    <t>9300870608</t>
  </si>
  <si>
    <t>karan.patel@gmail.com</t>
  </si>
  <si>
    <t>C020</t>
  </si>
  <si>
    <t>Vikas Yadav</t>
  </si>
  <si>
    <t>9862003565</t>
  </si>
  <si>
    <t>C021</t>
  </si>
  <si>
    <t>ANJALI GUPTA</t>
  </si>
  <si>
    <t>9102506354</t>
  </si>
  <si>
    <t>anjali.gupta@gmail.com</t>
  </si>
  <si>
    <t>C022</t>
  </si>
  <si>
    <t>C023</t>
  </si>
  <si>
    <t>9654860251</t>
  </si>
  <si>
    <t>C024</t>
  </si>
  <si>
    <t>Meena Joshi</t>
  </si>
  <si>
    <t>9049987722</t>
  </si>
  <si>
    <t>C025</t>
  </si>
  <si>
    <t xml:space="preserve"> Jaipur</t>
  </si>
  <si>
    <t>9158149443</t>
  </si>
  <si>
    <t>C026</t>
  </si>
  <si>
    <t>9423352933</t>
  </si>
  <si>
    <t>C027</t>
  </si>
  <si>
    <t>suresh kumar</t>
  </si>
  <si>
    <t>9991044441</t>
  </si>
  <si>
    <t>C028</t>
  </si>
  <si>
    <t>pooja sharma</t>
  </si>
  <si>
    <t>9882586258</t>
  </si>
  <si>
    <t>C029</t>
  </si>
  <si>
    <t>pune</t>
  </si>
  <si>
    <t>9246972866</t>
  </si>
  <si>
    <t>C030</t>
  </si>
  <si>
    <t>lucknow</t>
  </si>
  <si>
    <t>9399901936</t>
  </si>
  <si>
    <t>C031</t>
  </si>
  <si>
    <t>97306</t>
  </si>
  <si>
    <t>meena.joshi@gmail.com</t>
  </si>
  <si>
    <t>C032</t>
  </si>
  <si>
    <t xml:space="preserve"> delhi</t>
  </si>
  <si>
    <t>9676533700</t>
  </si>
  <si>
    <t>C033</t>
  </si>
  <si>
    <t>C034</t>
  </si>
  <si>
    <t>9026670894</t>
  </si>
  <si>
    <t>C035</t>
  </si>
  <si>
    <t>9921682683</t>
  </si>
  <si>
    <t>C036</t>
  </si>
  <si>
    <t>SURESH KUMAR</t>
  </si>
  <si>
    <t>97216</t>
  </si>
  <si>
    <t>C037</t>
  </si>
  <si>
    <t>9680434757</t>
  </si>
  <si>
    <t>C038</t>
  </si>
  <si>
    <t>93711</t>
  </si>
  <si>
    <t>C039</t>
  </si>
  <si>
    <t>9647022412</t>
  </si>
  <si>
    <t>C040</t>
  </si>
  <si>
    <t>Riya Sharma</t>
  </si>
  <si>
    <t>9210445432</t>
  </si>
  <si>
    <t>C041</t>
  </si>
  <si>
    <t>9856894349</t>
  </si>
  <si>
    <t>C042</t>
  </si>
  <si>
    <t>9377732382</t>
  </si>
  <si>
    <t>C043</t>
  </si>
  <si>
    <t xml:space="preserve"> DELHI</t>
  </si>
  <si>
    <t>9699980582</t>
  </si>
  <si>
    <t>C044</t>
  </si>
  <si>
    <t>9572146646</t>
  </si>
  <si>
    <t>C045</t>
  </si>
  <si>
    <t>jaipur</t>
  </si>
  <si>
    <t>9972121287</t>
  </si>
  <si>
    <t>C046</t>
  </si>
  <si>
    <t>riya sharma</t>
  </si>
  <si>
    <t>91668</t>
  </si>
  <si>
    <t>C047</t>
  </si>
  <si>
    <t>9920137106</t>
  </si>
  <si>
    <t>C048</t>
  </si>
  <si>
    <t>CHANDIGARH</t>
  </si>
  <si>
    <t>9181174968</t>
  </si>
  <si>
    <t>C049</t>
  </si>
  <si>
    <t>9660447993</t>
  </si>
  <si>
    <t>C050</t>
  </si>
  <si>
    <t>meena joshi</t>
  </si>
  <si>
    <t>9003487264</t>
  </si>
  <si>
    <t>C051</t>
  </si>
  <si>
    <t xml:space="preserve"> Lucknow</t>
  </si>
  <si>
    <t>9584258895</t>
  </si>
  <si>
    <t>C052</t>
  </si>
  <si>
    <t>Rohit Gupta</t>
  </si>
  <si>
    <t>AHMEDABAD</t>
  </si>
  <si>
    <t>9421510384</t>
  </si>
  <si>
    <t>C053</t>
  </si>
  <si>
    <t>9153909765</t>
  </si>
  <si>
    <t>C054</t>
  </si>
  <si>
    <t>rahul sharma</t>
  </si>
  <si>
    <t>9367730182</t>
  </si>
  <si>
    <t>C055</t>
  </si>
  <si>
    <t>C056</t>
  </si>
  <si>
    <t>9005584590</t>
  </si>
  <si>
    <t>C057</t>
  </si>
  <si>
    <t>9180683936</t>
  </si>
  <si>
    <t>C058</t>
  </si>
  <si>
    <t>LUCKNOW</t>
  </si>
  <si>
    <t>9001205088</t>
  </si>
  <si>
    <t>C059</t>
  </si>
  <si>
    <t xml:space="preserve"> AHMEDABAD</t>
  </si>
  <si>
    <t>9287117109</t>
  </si>
  <si>
    <t>C060</t>
  </si>
  <si>
    <t>9345690014</t>
  </si>
  <si>
    <t>C061</t>
  </si>
  <si>
    <t>JAIPUR</t>
  </si>
  <si>
    <t>9512169075</t>
  </si>
  <si>
    <t>C062</t>
  </si>
  <si>
    <t>9429345244</t>
  </si>
  <si>
    <t>C063</t>
  </si>
  <si>
    <t>karan patel</t>
  </si>
  <si>
    <t>9446464392</t>
  </si>
  <si>
    <t>C064</t>
  </si>
  <si>
    <t>9794631507</t>
  </si>
  <si>
    <t>C065</t>
  </si>
  <si>
    <t>mumbai</t>
  </si>
  <si>
    <t>9090347586</t>
  </si>
  <si>
    <t>C066</t>
  </si>
  <si>
    <t>DELHI</t>
  </si>
  <si>
    <t>9503186262</t>
  </si>
  <si>
    <t>C067</t>
  </si>
  <si>
    <t>9226154693</t>
  </si>
  <si>
    <t>C068</t>
  </si>
  <si>
    <t>sneha roy</t>
  </si>
  <si>
    <t>92563</t>
  </si>
  <si>
    <t>C069</t>
  </si>
  <si>
    <t>9793219270</t>
  </si>
  <si>
    <t>C070</t>
  </si>
  <si>
    <t>rohit gupta</t>
  </si>
  <si>
    <t>9632134149</t>
  </si>
  <si>
    <t>C071</t>
  </si>
  <si>
    <t>9390033982</t>
  </si>
  <si>
    <t>C072</t>
  </si>
  <si>
    <t>9012193810</t>
  </si>
  <si>
    <t>C073</t>
  </si>
  <si>
    <t>9352399933</t>
  </si>
  <si>
    <t>C074</t>
  </si>
  <si>
    <t>9492350616</t>
  </si>
  <si>
    <t>C075</t>
  </si>
  <si>
    <t>9216605296</t>
  </si>
  <si>
    <t>C076</t>
  </si>
  <si>
    <t>Anjali Gupta</t>
  </si>
  <si>
    <t>9771920282</t>
  </si>
  <si>
    <t>C077</t>
  </si>
  <si>
    <t xml:space="preserve"> Mumbai</t>
  </si>
  <si>
    <t>9563928930</t>
  </si>
  <si>
    <t>C078</t>
  </si>
  <si>
    <t>9167086391</t>
  </si>
  <si>
    <t>C079</t>
  </si>
  <si>
    <t>9009492609</t>
  </si>
  <si>
    <t>C080</t>
  </si>
  <si>
    <t>9859860725</t>
  </si>
  <si>
    <t>C081</t>
  </si>
  <si>
    <t>9700592125</t>
  </si>
  <si>
    <t>C082</t>
  </si>
  <si>
    <t>9538510814</t>
  </si>
  <si>
    <t>C083</t>
  </si>
  <si>
    <t>SNEHA ROY</t>
  </si>
  <si>
    <t>9779022848</t>
  </si>
  <si>
    <t>C084</t>
  </si>
  <si>
    <t>9548340400</t>
  </si>
  <si>
    <t>C085</t>
  </si>
  <si>
    <t>9876345418</t>
  </si>
  <si>
    <t>C086</t>
  </si>
  <si>
    <t>9912727004</t>
  </si>
  <si>
    <t>C087</t>
  </si>
  <si>
    <t>9053150051</t>
  </si>
  <si>
    <t>C088</t>
  </si>
  <si>
    <t>9970521853</t>
  </si>
  <si>
    <t>C089</t>
  </si>
  <si>
    <t>9598712328</t>
  </si>
  <si>
    <t>C090</t>
  </si>
  <si>
    <t>ARJUN MEHTA</t>
  </si>
  <si>
    <t>9185264400</t>
  </si>
  <si>
    <t>C091</t>
  </si>
  <si>
    <t xml:space="preserve"> Delhi</t>
  </si>
  <si>
    <t>9391795729</t>
  </si>
  <si>
    <t>C092</t>
  </si>
  <si>
    <t>9116123669</t>
  </si>
  <si>
    <t>C093</t>
  </si>
  <si>
    <t>NEHA SINGH</t>
  </si>
  <si>
    <t>9684167170</t>
  </si>
  <si>
    <t>C094</t>
  </si>
  <si>
    <t>ahmedabad</t>
  </si>
  <si>
    <t>9925289950</t>
  </si>
  <si>
    <t>C095</t>
  </si>
  <si>
    <t>anjali gupta</t>
  </si>
  <si>
    <t>9916368827</t>
  </si>
  <si>
    <t>C096</t>
  </si>
  <si>
    <t>vikas yadav</t>
  </si>
  <si>
    <t>9881866870</t>
  </si>
  <si>
    <t>C097</t>
  </si>
  <si>
    <t>9123463927</t>
  </si>
  <si>
    <t>C098</t>
  </si>
  <si>
    <t>9721948815</t>
  </si>
  <si>
    <t>C099</t>
  </si>
  <si>
    <t>9460077767</t>
  </si>
  <si>
    <t>C100</t>
  </si>
  <si>
    <t>9164739147</t>
  </si>
  <si>
    <t/>
  </si>
  <si>
    <t>Age Group</t>
  </si>
  <si>
    <t>Total Customer</t>
  </si>
  <si>
    <t>Duplicate Records</t>
  </si>
  <si>
    <t>Blank Cities</t>
  </si>
  <si>
    <t>Blank Email</t>
  </si>
  <si>
    <t>Phone status</t>
  </si>
  <si>
    <t>customer name</t>
  </si>
  <si>
    <t>Valid Phone number</t>
  </si>
  <si>
    <t>Invalid Phone number</t>
  </si>
  <si>
    <t>Blank Phone number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</si>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</sst>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3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1"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_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workbookViewId="0">
      <selection activeCell="F7" sqref="F7"/>
    </sheetView>
  </sheetViews>
  <sheetFormatPr defaultRowHeight="14.4" x14ac:dyDescent="0.3"/>
  <cols>
    <col min="1" max="1" width="12.21875" customWidth="1"/>
    <col min="2" max="2" width="16" customWidth="1"/>
    <col min="3" max="3" width="15.6640625" customWidth="1"/>
    <col min="4" max="4" width="18.109375" customWidth="1"/>
    <col min="5" max="5" width="22.88671875" customWidth="1"/>
    <col min="6" max="6" width="12.77734375" customWidth="1"/>
    <col min="7" max="7" width="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29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29</v>
      </c>
    </row>
    <row r="4" spans="1:7" x14ac:dyDescent="0.3">
      <c r="A4" t="s">
        <v>19</v>
      </c>
      <c r="B4" t="s">
        <v>20</v>
      </c>
      <c r="C4" t="s">
        <v>21</v>
      </c>
      <c r="E4" t="s">
        <v>22</v>
      </c>
      <c r="F4" t="s">
        <v>18</v>
      </c>
      <c r="G4">
        <v>40</v>
      </c>
    </row>
    <row r="5" spans="1:7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>
        <v>30</v>
      </c>
    </row>
    <row r="6" spans="1:7" x14ac:dyDescent="0.3">
      <c r="A6" t="s">
        <v>28</v>
      </c>
      <c r="B6" t="s">
        <v>29</v>
      </c>
      <c r="D6" t="s">
        <v>30</v>
      </c>
      <c r="E6" t="s">
        <v>31</v>
      </c>
      <c r="F6" t="s">
        <v>12</v>
      </c>
      <c r="G6">
        <v>35</v>
      </c>
    </row>
    <row r="7" spans="1:7" x14ac:dyDescent="0.3">
      <c r="A7" t="s">
        <v>32</v>
      </c>
      <c r="B7" t="s">
        <v>33</v>
      </c>
      <c r="C7" t="s">
        <v>34</v>
      </c>
      <c r="D7" t="s">
        <v>35</v>
      </c>
      <c r="F7" t="s">
        <v>18</v>
      </c>
      <c r="G7">
        <v>37</v>
      </c>
    </row>
    <row r="8" spans="1:7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12</v>
      </c>
      <c r="G8">
        <v>32</v>
      </c>
    </row>
    <row r="9" spans="1:7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12</v>
      </c>
      <c r="G9">
        <v>43</v>
      </c>
    </row>
    <row r="10" spans="1:7" x14ac:dyDescent="0.3">
      <c r="A10" t="s">
        <v>46</v>
      </c>
      <c r="B10" t="s">
        <v>47</v>
      </c>
      <c r="C10" t="s">
        <v>25</v>
      </c>
      <c r="D10" t="s">
        <v>48</v>
      </c>
      <c r="E10" t="s">
        <v>49</v>
      </c>
      <c r="F10" t="s">
        <v>12</v>
      </c>
      <c r="G10">
        <v>22</v>
      </c>
    </row>
    <row r="11" spans="1:7" x14ac:dyDescent="0.3">
      <c r="A11" t="s">
        <v>50</v>
      </c>
      <c r="B11" t="s">
        <v>8</v>
      </c>
      <c r="C11" t="s">
        <v>51</v>
      </c>
      <c r="D11" t="s">
        <v>52</v>
      </c>
      <c r="E11" t="s">
        <v>11</v>
      </c>
      <c r="F11" t="s">
        <v>12</v>
      </c>
      <c r="G11">
        <v>22</v>
      </c>
    </row>
    <row r="12" spans="1:7" x14ac:dyDescent="0.3">
      <c r="A12" t="s">
        <v>53</v>
      </c>
      <c r="B12" t="s">
        <v>54</v>
      </c>
      <c r="C12" t="s">
        <v>55</v>
      </c>
      <c r="D12" t="s">
        <v>56</v>
      </c>
      <c r="E12" t="s">
        <v>17</v>
      </c>
      <c r="F12" t="s">
        <v>18</v>
      </c>
      <c r="G12">
        <v>26</v>
      </c>
    </row>
    <row r="13" spans="1:7" x14ac:dyDescent="0.3">
      <c r="A13" t="s">
        <v>57</v>
      </c>
      <c r="B13" t="s">
        <v>58</v>
      </c>
      <c r="C13" t="s">
        <v>21</v>
      </c>
      <c r="D13" t="s">
        <v>59</v>
      </c>
      <c r="E13" t="s">
        <v>60</v>
      </c>
      <c r="F13" t="s">
        <v>18</v>
      </c>
      <c r="G13">
        <v>27</v>
      </c>
    </row>
    <row r="14" spans="1:7" x14ac:dyDescent="0.3">
      <c r="A14" t="s">
        <v>61</v>
      </c>
      <c r="B14" t="s">
        <v>54</v>
      </c>
      <c r="C14" t="s">
        <v>38</v>
      </c>
      <c r="D14" t="s">
        <v>62</v>
      </c>
      <c r="E14" t="s">
        <v>17</v>
      </c>
      <c r="F14" t="s">
        <v>18</v>
      </c>
      <c r="G14">
        <v>26</v>
      </c>
    </row>
    <row r="15" spans="1:7" x14ac:dyDescent="0.3">
      <c r="A15" t="s">
        <v>63</v>
      </c>
      <c r="B15" t="s">
        <v>54</v>
      </c>
      <c r="C15" t="s">
        <v>64</v>
      </c>
      <c r="D15" t="s">
        <v>65</v>
      </c>
      <c r="F15" t="s">
        <v>18</v>
      </c>
      <c r="G15">
        <v>30</v>
      </c>
    </row>
    <row r="16" spans="1:7" x14ac:dyDescent="0.3">
      <c r="A16" t="s">
        <v>66</v>
      </c>
      <c r="B16" t="s">
        <v>33</v>
      </c>
      <c r="C16" t="s">
        <v>25</v>
      </c>
      <c r="D16" t="s">
        <v>67</v>
      </c>
      <c r="E16" t="s">
        <v>68</v>
      </c>
      <c r="F16" t="s">
        <v>18</v>
      </c>
      <c r="G16">
        <v>45</v>
      </c>
    </row>
    <row r="17" spans="1:7" x14ac:dyDescent="0.3">
      <c r="A17" t="s">
        <v>69</v>
      </c>
      <c r="B17" t="s">
        <v>70</v>
      </c>
      <c r="C17" t="s">
        <v>55</v>
      </c>
      <c r="D17" t="s">
        <v>71</v>
      </c>
      <c r="E17" t="s">
        <v>72</v>
      </c>
      <c r="F17" t="s">
        <v>18</v>
      </c>
      <c r="G17">
        <v>28</v>
      </c>
    </row>
    <row r="18" spans="1:7" x14ac:dyDescent="0.3">
      <c r="A18" t="s">
        <v>73</v>
      </c>
      <c r="B18" t="s">
        <v>74</v>
      </c>
      <c r="D18" t="s">
        <v>75</v>
      </c>
      <c r="E18" t="s">
        <v>76</v>
      </c>
      <c r="F18" t="s">
        <v>12</v>
      </c>
      <c r="G18">
        <v>34</v>
      </c>
    </row>
    <row r="19" spans="1:7" x14ac:dyDescent="0.3">
      <c r="A19" t="s">
        <v>77</v>
      </c>
      <c r="B19" t="s">
        <v>78</v>
      </c>
      <c r="C19" t="s">
        <v>79</v>
      </c>
      <c r="D19" t="s">
        <v>80</v>
      </c>
      <c r="E19" t="s">
        <v>76</v>
      </c>
      <c r="F19" t="s">
        <v>12</v>
      </c>
      <c r="G19">
        <v>27</v>
      </c>
    </row>
    <row r="20" spans="1:7" x14ac:dyDescent="0.3">
      <c r="A20" t="s">
        <v>81</v>
      </c>
      <c r="B20" t="s">
        <v>82</v>
      </c>
      <c r="C20" t="s">
        <v>79</v>
      </c>
      <c r="D20" t="s">
        <v>83</v>
      </c>
      <c r="E20" t="s">
        <v>84</v>
      </c>
      <c r="F20" t="s">
        <v>12</v>
      </c>
      <c r="G20">
        <v>32</v>
      </c>
    </row>
    <row r="21" spans="1:7" x14ac:dyDescent="0.3">
      <c r="A21" t="s">
        <v>85</v>
      </c>
      <c r="B21" t="s">
        <v>86</v>
      </c>
      <c r="C21" t="s">
        <v>21</v>
      </c>
      <c r="D21" t="s">
        <v>87</v>
      </c>
      <c r="E21" t="s">
        <v>31</v>
      </c>
      <c r="F21" t="s">
        <v>12</v>
      </c>
      <c r="G21">
        <v>23</v>
      </c>
    </row>
    <row r="22" spans="1:7" x14ac:dyDescent="0.3">
      <c r="A22" t="s">
        <v>88</v>
      </c>
      <c r="B22" t="s">
        <v>89</v>
      </c>
      <c r="C22" t="s">
        <v>55</v>
      </c>
      <c r="D22" t="s">
        <v>90</v>
      </c>
      <c r="E22" t="s">
        <v>91</v>
      </c>
      <c r="F22" t="s">
        <v>18</v>
      </c>
      <c r="G22">
        <v>34</v>
      </c>
    </row>
    <row r="23" spans="1:7" x14ac:dyDescent="0.3">
      <c r="A23" t="s">
        <v>92</v>
      </c>
      <c r="B23" t="s">
        <v>74</v>
      </c>
      <c r="C23" t="s">
        <v>55</v>
      </c>
      <c r="E23" t="s">
        <v>76</v>
      </c>
      <c r="F23" t="s">
        <v>12</v>
      </c>
      <c r="G23">
        <v>20</v>
      </c>
    </row>
    <row r="24" spans="1:7" x14ac:dyDescent="0.3">
      <c r="A24" t="s">
        <v>93</v>
      </c>
      <c r="B24" t="s">
        <v>33</v>
      </c>
      <c r="C24" t="s">
        <v>21</v>
      </c>
      <c r="D24" t="s">
        <v>94</v>
      </c>
      <c r="E24" t="s">
        <v>68</v>
      </c>
      <c r="F24" t="s">
        <v>18</v>
      </c>
      <c r="G24">
        <v>24</v>
      </c>
    </row>
    <row r="25" spans="1:7" x14ac:dyDescent="0.3">
      <c r="A25" t="s">
        <v>95</v>
      </c>
      <c r="B25" t="s">
        <v>96</v>
      </c>
      <c r="C25" t="s">
        <v>15</v>
      </c>
      <c r="D25" t="s">
        <v>97</v>
      </c>
      <c r="F25" t="s">
        <v>18</v>
      </c>
      <c r="G25">
        <v>28</v>
      </c>
    </row>
    <row r="26" spans="1:7" x14ac:dyDescent="0.3">
      <c r="A26" t="s">
        <v>98</v>
      </c>
      <c r="B26" t="s">
        <v>82</v>
      </c>
      <c r="C26" t="s">
        <v>99</v>
      </c>
      <c r="D26" t="s">
        <v>100</v>
      </c>
      <c r="E26" t="s">
        <v>84</v>
      </c>
      <c r="F26" t="s">
        <v>12</v>
      </c>
      <c r="G26">
        <v>36</v>
      </c>
    </row>
    <row r="27" spans="1:7" x14ac:dyDescent="0.3">
      <c r="A27" t="s">
        <v>101</v>
      </c>
      <c r="B27" t="s">
        <v>8</v>
      </c>
      <c r="D27" t="s">
        <v>102</v>
      </c>
      <c r="E27" t="s">
        <v>11</v>
      </c>
      <c r="F27" t="s">
        <v>12</v>
      </c>
      <c r="G27">
        <v>39</v>
      </c>
    </row>
    <row r="28" spans="1:7" x14ac:dyDescent="0.3">
      <c r="A28" t="s">
        <v>103</v>
      </c>
      <c r="B28" t="s">
        <v>104</v>
      </c>
      <c r="C28" t="s">
        <v>21</v>
      </c>
      <c r="D28" t="s">
        <v>105</v>
      </c>
      <c r="E28" t="s">
        <v>49</v>
      </c>
      <c r="F28" t="s">
        <v>12</v>
      </c>
      <c r="G28">
        <v>22</v>
      </c>
    </row>
    <row r="29" spans="1:7" x14ac:dyDescent="0.3">
      <c r="A29" t="s">
        <v>106</v>
      </c>
      <c r="B29" t="s">
        <v>107</v>
      </c>
      <c r="C29" t="s">
        <v>51</v>
      </c>
      <c r="D29" t="s">
        <v>108</v>
      </c>
      <c r="F29" t="s">
        <v>18</v>
      </c>
      <c r="G29">
        <v>38</v>
      </c>
    </row>
    <row r="30" spans="1:7" x14ac:dyDescent="0.3">
      <c r="A30" t="s">
        <v>109</v>
      </c>
      <c r="B30" t="s">
        <v>54</v>
      </c>
      <c r="C30" t="s">
        <v>110</v>
      </c>
      <c r="D30" t="s">
        <v>111</v>
      </c>
      <c r="F30" t="s">
        <v>18</v>
      </c>
      <c r="G30">
        <v>34</v>
      </c>
    </row>
    <row r="31" spans="1:7" x14ac:dyDescent="0.3">
      <c r="A31" t="s">
        <v>112</v>
      </c>
      <c r="B31" t="s">
        <v>54</v>
      </c>
      <c r="C31" t="s">
        <v>113</v>
      </c>
      <c r="D31" t="s">
        <v>114</v>
      </c>
      <c r="E31" t="s">
        <v>17</v>
      </c>
      <c r="F31" t="s">
        <v>18</v>
      </c>
      <c r="G31">
        <v>26</v>
      </c>
    </row>
    <row r="32" spans="1:7" x14ac:dyDescent="0.3">
      <c r="A32" t="s">
        <v>115</v>
      </c>
      <c r="B32" t="s">
        <v>96</v>
      </c>
      <c r="C32" t="s">
        <v>15</v>
      </c>
      <c r="D32" t="s">
        <v>116</v>
      </c>
      <c r="E32" t="s">
        <v>117</v>
      </c>
      <c r="F32" t="s">
        <v>18</v>
      </c>
      <c r="G32">
        <v>41</v>
      </c>
    </row>
    <row r="33" spans="1:7" x14ac:dyDescent="0.3">
      <c r="A33" t="s">
        <v>118</v>
      </c>
      <c r="B33" t="s">
        <v>54</v>
      </c>
      <c r="C33" t="s">
        <v>119</v>
      </c>
      <c r="D33" t="s">
        <v>120</v>
      </c>
      <c r="E33" t="s">
        <v>17</v>
      </c>
      <c r="F33" t="s">
        <v>18</v>
      </c>
      <c r="G33">
        <v>36</v>
      </c>
    </row>
    <row r="34" spans="1:7" x14ac:dyDescent="0.3">
      <c r="A34" t="s">
        <v>121</v>
      </c>
      <c r="B34" t="s">
        <v>14</v>
      </c>
      <c r="C34" t="s">
        <v>21</v>
      </c>
      <c r="E34" t="s">
        <v>17</v>
      </c>
      <c r="F34" t="s">
        <v>18</v>
      </c>
      <c r="G34">
        <v>23</v>
      </c>
    </row>
    <row r="35" spans="1:7" x14ac:dyDescent="0.3">
      <c r="A35" t="s">
        <v>122</v>
      </c>
      <c r="B35" t="s">
        <v>82</v>
      </c>
      <c r="C35" t="s">
        <v>79</v>
      </c>
      <c r="D35" t="s">
        <v>123</v>
      </c>
      <c r="E35" t="s">
        <v>84</v>
      </c>
      <c r="F35" t="s">
        <v>12</v>
      </c>
      <c r="G35">
        <v>20</v>
      </c>
    </row>
    <row r="36" spans="1:7" x14ac:dyDescent="0.3">
      <c r="A36" t="s">
        <v>124</v>
      </c>
      <c r="B36" t="s">
        <v>74</v>
      </c>
      <c r="C36" t="s">
        <v>9</v>
      </c>
      <c r="D36" t="s">
        <v>125</v>
      </c>
      <c r="E36" t="s">
        <v>76</v>
      </c>
      <c r="F36" t="s">
        <v>12</v>
      </c>
      <c r="G36">
        <v>38</v>
      </c>
    </row>
    <row r="37" spans="1:7" x14ac:dyDescent="0.3">
      <c r="A37" t="s">
        <v>126</v>
      </c>
      <c r="B37" t="s">
        <v>127</v>
      </c>
      <c r="C37" t="s">
        <v>38</v>
      </c>
      <c r="D37" t="s">
        <v>128</v>
      </c>
      <c r="E37" t="s">
        <v>49</v>
      </c>
      <c r="F37" t="s">
        <v>12</v>
      </c>
      <c r="G37">
        <v>33</v>
      </c>
    </row>
    <row r="38" spans="1:7" x14ac:dyDescent="0.3">
      <c r="A38" t="s">
        <v>129</v>
      </c>
      <c r="B38" t="s">
        <v>96</v>
      </c>
      <c r="C38" t="s">
        <v>55</v>
      </c>
      <c r="D38" t="s">
        <v>130</v>
      </c>
      <c r="E38" t="s">
        <v>117</v>
      </c>
      <c r="F38" t="s">
        <v>18</v>
      </c>
      <c r="G38">
        <v>29</v>
      </c>
    </row>
    <row r="39" spans="1:7" x14ac:dyDescent="0.3">
      <c r="A39" t="s">
        <v>131</v>
      </c>
      <c r="B39" t="s">
        <v>47</v>
      </c>
      <c r="C39" t="s">
        <v>25</v>
      </c>
      <c r="D39" t="s">
        <v>132</v>
      </c>
      <c r="E39" t="s">
        <v>49</v>
      </c>
      <c r="F39" t="s">
        <v>12</v>
      </c>
      <c r="G39">
        <v>38</v>
      </c>
    </row>
    <row r="40" spans="1:7" x14ac:dyDescent="0.3">
      <c r="A40" t="s">
        <v>133</v>
      </c>
      <c r="B40" t="s">
        <v>96</v>
      </c>
      <c r="C40" t="s">
        <v>34</v>
      </c>
      <c r="D40" t="s">
        <v>134</v>
      </c>
      <c r="E40" t="s">
        <v>117</v>
      </c>
      <c r="F40" t="s">
        <v>18</v>
      </c>
      <c r="G40">
        <v>37</v>
      </c>
    </row>
    <row r="41" spans="1:7" x14ac:dyDescent="0.3">
      <c r="A41" t="s">
        <v>135</v>
      </c>
      <c r="B41" t="s">
        <v>136</v>
      </c>
      <c r="C41" t="s">
        <v>110</v>
      </c>
      <c r="D41" t="s">
        <v>137</v>
      </c>
      <c r="E41" t="s">
        <v>22</v>
      </c>
      <c r="F41" t="s">
        <v>18</v>
      </c>
      <c r="G41">
        <v>34</v>
      </c>
    </row>
    <row r="42" spans="1:7" x14ac:dyDescent="0.3">
      <c r="A42" t="s">
        <v>138</v>
      </c>
      <c r="B42" t="s">
        <v>37</v>
      </c>
      <c r="C42" t="s">
        <v>9</v>
      </c>
      <c r="D42" t="s">
        <v>139</v>
      </c>
      <c r="E42" t="s">
        <v>40</v>
      </c>
      <c r="F42" t="s">
        <v>12</v>
      </c>
      <c r="G42">
        <v>39</v>
      </c>
    </row>
    <row r="43" spans="1:7" x14ac:dyDescent="0.3">
      <c r="A43" t="s">
        <v>140</v>
      </c>
      <c r="B43" t="s">
        <v>8</v>
      </c>
      <c r="C43" t="s">
        <v>79</v>
      </c>
      <c r="D43" t="s">
        <v>141</v>
      </c>
      <c r="E43" t="s">
        <v>11</v>
      </c>
      <c r="F43" t="s">
        <v>12</v>
      </c>
      <c r="G43">
        <v>43</v>
      </c>
    </row>
    <row r="44" spans="1:7" x14ac:dyDescent="0.3">
      <c r="A44" t="s">
        <v>142</v>
      </c>
      <c r="B44" t="s">
        <v>82</v>
      </c>
      <c r="C44" t="s">
        <v>143</v>
      </c>
      <c r="D44" t="s">
        <v>144</v>
      </c>
      <c r="E44" t="s">
        <v>84</v>
      </c>
      <c r="F44" t="s">
        <v>12</v>
      </c>
      <c r="G44">
        <v>44</v>
      </c>
    </row>
    <row r="45" spans="1:7" x14ac:dyDescent="0.3">
      <c r="A45" t="s">
        <v>145</v>
      </c>
      <c r="B45" t="s">
        <v>20</v>
      </c>
      <c r="C45" t="s">
        <v>21</v>
      </c>
      <c r="D45" t="s">
        <v>146</v>
      </c>
      <c r="E45" t="s">
        <v>22</v>
      </c>
      <c r="F45" t="s">
        <v>18</v>
      </c>
      <c r="G45">
        <v>22</v>
      </c>
    </row>
    <row r="46" spans="1:7" x14ac:dyDescent="0.3">
      <c r="A46" t="s">
        <v>147</v>
      </c>
      <c r="B46" t="s">
        <v>33</v>
      </c>
      <c r="C46" t="s">
        <v>148</v>
      </c>
      <c r="D46" t="s">
        <v>149</v>
      </c>
      <c r="E46" t="s">
        <v>68</v>
      </c>
      <c r="F46" t="s">
        <v>18</v>
      </c>
      <c r="G46">
        <v>38</v>
      </c>
    </row>
    <row r="47" spans="1:7" x14ac:dyDescent="0.3">
      <c r="A47" t="s">
        <v>150</v>
      </c>
      <c r="B47" t="s">
        <v>151</v>
      </c>
      <c r="C47" t="s">
        <v>38</v>
      </c>
      <c r="D47" t="s">
        <v>152</v>
      </c>
      <c r="E47" t="s">
        <v>22</v>
      </c>
      <c r="F47" t="s">
        <v>18</v>
      </c>
      <c r="G47">
        <v>44</v>
      </c>
    </row>
    <row r="48" spans="1:7" x14ac:dyDescent="0.3">
      <c r="A48" t="s">
        <v>153</v>
      </c>
      <c r="B48" t="s">
        <v>54</v>
      </c>
      <c r="C48" t="s">
        <v>34</v>
      </c>
      <c r="D48" t="s">
        <v>154</v>
      </c>
      <c r="F48" t="s">
        <v>18</v>
      </c>
      <c r="G48">
        <v>42</v>
      </c>
    </row>
    <row r="49" spans="1:7" x14ac:dyDescent="0.3">
      <c r="A49" t="s">
        <v>155</v>
      </c>
      <c r="B49" t="s">
        <v>82</v>
      </c>
      <c r="C49" t="s">
        <v>156</v>
      </c>
      <c r="D49" t="s">
        <v>157</v>
      </c>
      <c r="E49" t="s">
        <v>84</v>
      </c>
      <c r="F49" t="s">
        <v>12</v>
      </c>
      <c r="G49">
        <v>26</v>
      </c>
    </row>
    <row r="50" spans="1:7" x14ac:dyDescent="0.3">
      <c r="A50" t="s">
        <v>158</v>
      </c>
      <c r="B50" t="s">
        <v>54</v>
      </c>
      <c r="D50" t="s">
        <v>159</v>
      </c>
      <c r="E50" t="s">
        <v>17</v>
      </c>
      <c r="F50" t="s">
        <v>18</v>
      </c>
      <c r="G50">
        <v>33</v>
      </c>
    </row>
    <row r="51" spans="1:7" x14ac:dyDescent="0.3">
      <c r="A51" t="s">
        <v>160</v>
      </c>
      <c r="B51" t="s">
        <v>161</v>
      </c>
      <c r="C51" t="s">
        <v>79</v>
      </c>
      <c r="D51" t="s">
        <v>162</v>
      </c>
      <c r="E51" t="s">
        <v>117</v>
      </c>
      <c r="F51" t="s">
        <v>18</v>
      </c>
      <c r="G51">
        <v>44</v>
      </c>
    </row>
    <row r="52" spans="1:7" x14ac:dyDescent="0.3">
      <c r="A52" t="s">
        <v>163</v>
      </c>
      <c r="B52" t="s">
        <v>96</v>
      </c>
      <c r="C52" t="s">
        <v>164</v>
      </c>
      <c r="D52" t="s">
        <v>165</v>
      </c>
      <c r="E52" t="s">
        <v>117</v>
      </c>
      <c r="F52" t="s">
        <v>18</v>
      </c>
      <c r="G52">
        <v>33</v>
      </c>
    </row>
    <row r="53" spans="1:7" x14ac:dyDescent="0.3">
      <c r="A53" t="s">
        <v>166</v>
      </c>
      <c r="B53" t="s">
        <v>167</v>
      </c>
      <c r="C53" t="s">
        <v>168</v>
      </c>
      <c r="D53" t="s">
        <v>169</v>
      </c>
      <c r="E53" t="s">
        <v>27</v>
      </c>
      <c r="F53" t="s">
        <v>12</v>
      </c>
      <c r="G53">
        <v>20</v>
      </c>
    </row>
    <row r="54" spans="1:7" x14ac:dyDescent="0.3">
      <c r="A54" t="s">
        <v>170</v>
      </c>
      <c r="B54" t="s">
        <v>33</v>
      </c>
      <c r="C54" t="s">
        <v>25</v>
      </c>
      <c r="D54" t="s">
        <v>171</v>
      </c>
      <c r="E54" t="s">
        <v>68</v>
      </c>
      <c r="F54" t="s">
        <v>18</v>
      </c>
      <c r="G54">
        <v>31</v>
      </c>
    </row>
    <row r="55" spans="1:7" x14ac:dyDescent="0.3">
      <c r="A55" t="s">
        <v>172</v>
      </c>
      <c r="B55" t="s">
        <v>173</v>
      </c>
      <c r="C55" t="s">
        <v>34</v>
      </c>
      <c r="D55" t="s">
        <v>174</v>
      </c>
      <c r="E55" t="s">
        <v>11</v>
      </c>
      <c r="F55" t="s">
        <v>12</v>
      </c>
      <c r="G55">
        <v>30</v>
      </c>
    </row>
    <row r="56" spans="1:7" x14ac:dyDescent="0.3">
      <c r="A56" t="s">
        <v>175</v>
      </c>
      <c r="B56" t="s">
        <v>104</v>
      </c>
      <c r="C56" t="s">
        <v>38</v>
      </c>
      <c r="E56" t="s">
        <v>49</v>
      </c>
      <c r="F56" t="s">
        <v>12</v>
      </c>
      <c r="G56">
        <v>43</v>
      </c>
    </row>
    <row r="57" spans="1:7" x14ac:dyDescent="0.3">
      <c r="A57" t="s">
        <v>176</v>
      </c>
      <c r="B57" t="s">
        <v>14</v>
      </c>
      <c r="C57" t="s">
        <v>55</v>
      </c>
      <c r="D57" t="s">
        <v>177</v>
      </c>
      <c r="E57" t="s">
        <v>17</v>
      </c>
      <c r="F57" t="s">
        <v>18</v>
      </c>
      <c r="G57">
        <v>21</v>
      </c>
    </row>
    <row r="58" spans="1:7" x14ac:dyDescent="0.3">
      <c r="A58" t="s">
        <v>178</v>
      </c>
      <c r="B58" t="s">
        <v>54</v>
      </c>
      <c r="C58" t="s">
        <v>34</v>
      </c>
      <c r="D58" t="s">
        <v>179</v>
      </c>
      <c r="E58" t="s">
        <v>17</v>
      </c>
      <c r="F58" t="s">
        <v>18</v>
      </c>
      <c r="G58">
        <v>39</v>
      </c>
    </row>
    <row r="59" spans="1:7" x14ac:dyDescent="0.3">
      <c r="A59" t="s">
        <v>180</v>
      </c>
      <c r="B59" t="s">
        <v>14</v>
      </c>
      <c r="C59" t="s">
        <v>181</v>
      </c>
      <c r="D59" t="s">
        <v>182</v>
      </c>
      <c r="E59" t="s">
        <v>17</v>
      </c>
      <c r="F59" t="s">
        <v>18</v>
      </c>
      <c r="G59">
        <v>39</v>
      </c>
    </row>
    <row r="60" spans="1:7" x14ac:dyDescent="0.3">
      <c r="A60" t="s">
        <v>183</v>
      </c>
      <c r="B60" t="s">
        <v>78</v>
      </c>
      <c r="C60" t="s">
        <v>184</v>
      </c>
      <c r="D60" t="s">
        <v>185</v>
      </c>
      <c r="E60" t="s">
        <v>76</v>
      </c>
      <c r="F60" t="s">
        <v>12</v>
      </c>
      <c r="G60">
        <v>42</v>
      </c>
    </row>
    <row r="61" spans="1:7" x14ac:dyDescent="0.3">
      <c r="A61" t="s">
        <v>186</v>
      </c>
      <c r="B61" t="s">
        <v>167</v>
      </c>
      <c r="C61" t="s">
        <v>110</v>
      </c>
      <c r="D61" t="s">
        <v>187</v>
      </c>
      <c r="E61" t="s">
        <v>27</v>
      </c>
      <c r="F61" t="s">
        <v>12</v>
      </c>
      <c r="G61">
        <v>23</v>
      </c>
    </row>
    <row r="62" spans="1:7" x14ac:dyDescent="0.3">
      <c r="A62" t="s">
        <v>188</v>
      </c>
      <c r="B62" t="s">
        <v>86</v>
      </c>
      <c r="C62" t="s">
        <v>189</v>
      </c>
      <c r="D62" t="s">
        <v>190</v>
      </c>
      <c r="E62" t="s">
        <v>31</v>
      </c>
      <c r="F62" t="s">
        <v>12</v>
      </c>
      <c r="G62">
        <v>23</v>
      </c>
    </row>
    <row r="63" spans="1:7" x14ac:dyDescent="0.3">
      <c r="A63" t="s">
        <v>191</v>
      </c>
      <c r="B63" t="s">
        <v>107</v>
      </c>
      <c r="C63" t="s">
        <v>64</v>
      </c>
      <c r="D63" t="s">
        <v>192</v>
      </c>
      <c r="E63" t="s">
        <v>60</v>
      </c>
      <c r="F63" t="s">
        <v>18</v>
      </c>
      <c r="G63">
        <v>31</v>
      </c>
    </row>
    <row r="64" spans="1:7" x14ac:dyDescent="0.3">
      <c r="A64" t="s">
        <v>193</v>
      </c>
      <c r="B64" t="s">
        <v>194</v>
      </c>
      <c r="C64" t="s">
        <v>34</v>
      </c>
      <c r="D64" t="s">
        <v>195</v>
      </c>
      <c r="E64" t="s">
        <v>84</v>
      </c>
      <c r="F64" t="s">
        <v>12</v>
      </c>
      <c r="G64">
        <v>29</v>
      </c>
    </row>
    <row r="65" spans="1:7" x14ac:dyDescent="0.3">
      <c r="A65" t="s">
        <v>196</v>
      </c>
      <c r="B65" t="s">
        <v>42</v>
      </c>
      <c r="C65" t="s">
        <v>25</v>
      </c>
      <c r="D65" t="s">
        <v>197</v>
      </c>
      <c r="E65" t="s">
        <v>45</v>
      </c>
      <c r="F65" t="s">
        <v>12</v>
      </c>
      <c r="G65">
        <v>20</v>
      </c>
    </row>
    <row r="66" spans="1:7" x14ac:dyDescent="0.3">
      <c r="A66" t="s">
        <v>198</v>
      </c>
      <c r="B66" t="s">
        <v>54</v>
      </c>
      <c r="C66" t="s">
        <v>199</v>
      </c>
      <c r="D66" t="s">
        <v>200</v>
      </c>
      <c r="E66" t="s">
        <v>17</v>
      </c>
      <c r="F66" t="s">
        <v>18</v>
      </c>
      <c r="G66">
        <v>43</v>
      </c>
    </row>
    <row r="67" spans="1:7" x14ac:dyDescent="0.3">
      <c r="A67" t="s">
        <v>201</v>
      </c>
      <c r="B67" t="s">
        <v>47</v>
      </c>
      <c r="C67" t="s">
        <v>202</v>
      </c>
      <c r="D67" t="s">
        <v>203</v>
      </c>
      <c r="E67" t="s">
        <v>49</v>
      </c>
      <c r="F67" t="s">
        <v>12</v>
      </c>
      <c r="G67">
        <v>32</v>
      </c>
    </row>
    <row r="68" spans="1:7" x14ac:dyDescent="0.3">
      <c r="A68" t="s">
        <v>204</v>
      </c>
      <c r="B68" t="s">
        <v>37</v>
      </c>
      <c r="C68" t="s">
        <v>181</v>
      </c>
      <c r="D68" t="s">
        <v>205</v>
      </c>
      <c r="E68" t="s">
        <v>40</v>
      </c>
      <c r="F68" t="s">
        <v>12</v>
      </c>
      <c r="G68">
        <v>22</v>
      </c>
    </row>
    <row r="69" spans="1:7" x14ac:dyDescent="0.3">
      <c r="A69" t="s">
        <v>206</v>
      </c>
      <c r="B69" t="s">
        <v>207</v>
      </c>
      <c r="C69" t="s">
        <v>181</v>
      </c>
      <c r="D69" t="s">
        <v>208</v>
      </c>
      <c r="E69" t="s">
        <v>72</v>
      </c>
      <c r="F69" t="s">
        <v>18</v>
      </c>
      <c r="G69">
        <v>39</v>
      </c>
    </row>
    <row r="70" spans="1:7" x14ac:dyDescent="0.3">
      <c r="A70" t="s">
        <v>209</v>
      </c>
      <c r="B70" t="s">
        <v>54</v>
      </c>
      <c r="C70" t="s">
        <v>168</v>
      </c>
      <c r="D70" t="s">
        <v>210</v>
      </c>
      <c r="E70" t="s">
        <v>17</v>
      </c>
      <c r="F70" t="s">
        <v>18</v>
      </c>
      <c r="G70">
        <v>32</v>
      </c>
    </row>
    <row r="71" spans="1:7" x14ac:dyDescent="0.3">
      <c r="A71" t="s">
        <v>211</v>
      </c>
      <c r="B71" t="s">
        <v>212</v>
      </c>
      <c r="C71" t="s">
        <v>25</v>
      </c>
      <c r="D71" t="s">
        <v>213</v>
      </c>
      <c r="E71" t="s">
        <v>27</v>
      </c>
      <c r="F71" t="s">
        <v>12</v>
      </c>
      <c r="G71">
        <v>24</v>
      </c>
    </row>
    <row r="72" spans="1:7" x14ac:dyDescent="0.3">
      <c r="A72" t="s">
        <v>214</v>
      </c>
      <c r="B72" t="s">
        <v>8</v>
      </c>
      <c r="C72" t="s">
        <v>43</v>
      </c>
      <c r="D72" t="s">
        <v>215</v>
      </c>
      <c r="E72" t="s">
        <v>11</v>
      </c>
      <c r="F72" t="s">
        <v>12</v>
      </c>
      <c r="G72">
        <v>43</v>
      </c>
    </row>
    <row r="73" spans="1:7" x14ac:dyDescent="0.3">
      <c r="A73" t="s">
        <v>216</v>
      </c>
      <c r="B73" t="s">
        <v>37</v>
      </c>
      <c r="C73" t="s">
        <v>156</v>
      </c>
      <c r="D73" t="s">
        <v>217</v>
      </c>
      <c r="F73" t="s">
        <v>12</v>
      </c>
      <c r="G73">
        <v>43</v>
      </c>
    </row>
    <row r="74" spans="1:7" x14ac:dyDescent="0.3">
      <c r="A74" t="s">
        <v>218</v>
      </c>
      <c r="B74" t="s">
        <v>136</v>
      </c>
      <c r="C74" t="s">
        <v>34</v>
      </c>
      <c r="D74" t="s">
        <v>219</v>
      </c>
      <c r="E74" t="s">
        <v>22</v>
      </c>
      <c r="F74" t="s">
        <v>18</v>
      </c>
      <c r="G74">
        <v>25</v>
      </c>
    </row>
    <row r="75" spans="1:7" x14ac:dyDescent="0.3">
      <c r="A75" t="s">
        <v>220</v>
      </c>
      <c r="B75" t="s">
        <v>74</v>
      </c>
      <c r="C75" t="s">
        <v>34</v>
      </c>
      <c r="D75" t="s">
        <v>221</v>
      </c>
      <c r="E75" t="s">
        <v>76</v>
      </c>
      <c r="F75" t="s">
        <v>12</v>
      </c>
      <c r="G75">
        <v>43</v>
      </c>
    </row>
    <row r="76" spans="1:7" x14ac:dyDescent="0.3">
      <c r="A76" t="s">
        <v>222</v>
      </c>
      <c r="B76" t="s">
        <v>54</v>
      </c>
      <c r="C76" t="s">
        <v>9</v>
      </c>
      <c r="D76" t="s">
        <v>223</v>
      </c>
      <c r="E76" t="s">
        <v>17</v>
      </c>
      <c r="F76" t="s">
        <v>18</v>
      </c>
      <c r="G76">
        <v>43</v>
      </c>
    </row>
    <row r="77" spans="1:7" x14ac:dyDescent="0.3">
      <c r="A77" t="s">
        <v>224</v>
      </c>
      <c r="B77" t="s">
        <v>225</v>
      </c>
      <c r="C77" t="s">
        <v>38</v>
      </c>
      <c r="D77" t="s">
        <v>226</v>
      </c>
      <c r="F77" t="s">
        <v>18</v>
      </c>
      <c r="G77">
        <v>40</v>
      </c>
    </row>
    <row r="78" spans="1:7" x14ac:dyDescent="0.3">
      <c r="A78" t="s">
        <v>227</v>
      </c>
      <c r="B78" t="s">
        <v>54</v>
      </c>
      <c r="C78" t="s">
        <v>228</v>
      </c>
      <c r="D78" t="s">
        <v>229</v>
      </c>
      <c r="E78" t="s">
        <v>17</v>
      </c>
      <c r="F78" t="s">
        <v>18</v>
      </c>
      <c r="G78">
        <v>28</v>
      </c>
    </row>
    <row r="79" spans="1:7" x14ac:dyDescent="0.3">
      <c r="A79" t="s">
        <v>230</v>
      </c>
      <c r="B79" t="s">
        <v>33</v>
      </c>
      <c r="C79" t="s">
        <v>79</v>
      </c>
      <c r="D79" t="s">
        <v>231</v>
      </c>
      <c r="E79" t="s">
        <v>68</v>
      </c>
      <c r="F79" t="s">
        <v>18</v>
      </c>
      <c r="G79">
        <v>26</v>
      </c>
    </row>
    <row r="80" spans="1:7" x14ac:dyDescent="0.3">
      <c r="A80" t="s">
        <v>232</v>
      </c>
      <c r="B80" t="s">
        <v>70</v>
      </c>
      <c r="D80" t="s">
        <v>233</v>
      </c>
      <c r="E80" t="s">
        <v>72</v>
      </c>
      <c r="F80" t="s">
        <v>18</v>
      </c>
      <c r="G80">
        <v>23</v>
      </c>
    </row>
    <row r="81" spans="1:7" x14ac:dyDescent="0.3">
      <c r="A81" t="s">
        <v>234</v>
      </c>
      <c r="B81" t="s">
        <v>33</v>
      </c>
      <c r="C81" t="s">
        <v>168</v>
      </c>
      <c r="D81" t="s">
        <v>235</v>
      </c>
      <c r="E81" t="s">
        <v>68</v>
      </c>
      <c r="F81" t="s">
        <v>18</v>
      </c>
      <c r="G81">
        <v>26</v>
      </c>
    </row>
    <row r="82" spans="1:7" x14ac:dyDescent="0.3">
      <c r="A82" t="s">
        <v>236</v>
      </c>
      <c r="B82" t="s">
        <v>29</v>
      </c>
      <c r="C82" t="s">
        <v>79</v>
      </c>
      <c r="D82" t="s">
        <v>237</v>
      </c>
      <c r="E82" t="s">
        <v>31</v>
      </c>
      <c r="F82" t="s">
        <v>12</v>
      </c>
      <c r="G82">
        <v>29</v>
      </c>
    </row>
    <row r="83" spans="1:7" x14ac:dyDescent="0.3">
      <c r="A83" t="s">
        <v>238</v>
      </c>
      <c r="B83" t="s">
        <v>54</v>
      </c>
      <c r="C83" t="s">
        <v>79</v>
      </c>
      <c r="D83" t="s">
        <v>239</v>
      </c>
      <c r="E83" t="s">
        <v>17</v>
      </c>
      <c r="F83" t="s">
        <v>18</v>
      </c>
      <c r="G83">
        <v>27</v>
      </c>
    </row>
    <row r="84" spans="1:7" x14ac:dyDescent="0.3">
      <c r="A84" t="s">
        <v>240</v>
      </c>
      <c r="B84" t="s">
        <v>241</v>
      </c>
      <c r="C84" t="s">
        <v>55</v>
      </c>
      <c r="D84" t="s">
        <v>242</v>
      </c>
      <c r="E84" t="s">
        <v>72</v>
      </c>
      <c r="F84" t="s">
        <v>18</v>
      </c>
      <c r="G84">
        <v>40</v>
      </c>
    </row>
    <row r="85" spans="1:7" x14ac:dyDescent="0.3">
      <c r="A85" t="s">
        <v>243</v>
      </c>
      <c r="B85" t="s">
        <v>225</v>
      </c>
      <c r="C85" t="s">
        <v>34</v>
      </c>
      <c r="D85" t="s">
        <v>244</v>
      </c>
      <c r="E85" t="s">
        <v>91</v>
      </c>
      <c r="F85" t="s">
        <v>18</v>
      </c>
      <c r="G85">
        <v>45</v>
      </c>
    </row>
    <row r="86" spans="1:7" x14ac:dyDescent="0.3">
      <c r="A86" t="s">
        <v>245</v>
      </c>
      <c r="B86" t="s">
        <v>58</v>
      </c>
      <c r="C86" t="s">
        <v>25</v>
      </c>
      <c r="D86" t="s">
        <v>246</v>
      </c>
      <c r="E86" t="s">
        <v>60</v>
      </c>
      <c r="F86" t="s">
        <v>18</v>
      </c>
      <c r="G86">
        <v>26</v>
      </c>
    </row>
    <row r="87" spans="1:7" x14ac:dyDescent="0.3">
      <c r="A87" t="s">
        <v>247</v>
      </c>
      <c r="B87" t="s">
        <v>8</v>
      </c>
      <c r="C87" t="s">
        <v>21</v>
      </c>
      <c r="D87" t="s">
        <v>248</v>
      </c>
      <c r="E87" t="s">
        <v>11</v>
      </c>
      <c r="F87" t="s">
        <v>12</v>
      </c>
      <c r="G87">
        <v>25</v>
      </c>
    </row>
    <row r="88" spans="1:7" x14ac:dyDescent="0.3">
      <c r="A88" t="s">
        <v>249</v>
      </c>
      <c r="B88" t="s">
        <v>78</v>
      </c>
      <c r="C88" t="s">
        <v>34</v>
      </c>
      <c r="D88" t="s">
        <v>250</v>
      </c>
      <c r="E88" t="s">
        <v>76</v>
      </c>
      <c r="F88" t="s">
        <v>12</v>
      </c>
      <c r="G88">
        <v>42</v>
      </c>
    </row>
    <row r="89" spans="1:7" x14ac:dyDescent="0.3">
      <c r="A89" t="s">
        <v>251</v>
      </c>
      <c r="B89" t="s">
        <v>42</v>
      </c>
      <c r="C89" t="s">
        <v>55</v>
      </c>
      <c r="D89" t="s">
        <v>252</v>
      </c>
      <c r="E89" t="s">
        <v>45</v>
      </c>
      <c r="F89" t="s">
        <v>12</v>
      </c>
      <c r="G89">
        <v>37</v>
      </c>
    </row>
    <row r="90" spans="1:7" x14ac:dyDescent="0.3">
      <c r="A90" t="s">
        <v>253</v>
      </c>
      <c r="B90" t="s">
        <v>58</v>
      </c>
      <c r="C90" t="s">
        <v>168</v>
      </c>
      <c r="D90" t="s">
        <v>254</v>
      </c>
      <c r="E90" t="s">
        <v>60</v>
      </c>
      <c r="F90" t="s">
        <v>18</v>
      </c>
      <c r="G90">
        <v>23</v>
      </c>
    </row>
    <row r="91" spans="1:7" x14ac:dyDescent="0.3">
      <c r="A91" t="s">
        <v>255</v>
      </c>
      <c r="B91" t="s">
        <v>256</v>
      </c>
      <c r="C91" t="s">
        <v>9</v>
      </c>
      <c r="D91" t="s">
        <v>257</v>
      </c>
      <c r="E91" t="s">
        <v>40</v>
      </c>
      <c r="F91" t="s">
        <v>12</v>
      </c>
      <c r="G91">
        <v>27</v>
      </c>
    </row>
    <row r="92" spans="1:7" x14ac:dyDescent="0.3">
      <c r="A92" t="s">
        <v>258</v>
      </c>
      <c r="B92" t="s">
        <v>47</v>
      </c>
      <c r="C92" t="s">
        <v>259</v>
      </c>
      <c r="D92" t="s">
        <v>260</v>
      </c>
      <c r="E92" t="s">
        <v>49</v>
      </c>
      <c r="F92" t="s">
        <v>12</v>
      </c>
      <c r="G92">
        <v>32</v>
      </c>
    </row>
    <row r="93" spans="1:7" x14ac:dyDescent="0.3">
      <c r="A93" t="s">
        <v>261</v>
      </c>
      <c r="B93" t="s">
        <v>33</v>
      </c>
      <c r="C93" t="s">
        <v>21</v>
      </c>
      <c r="D93" t="s">
        <v>262</v>
      </c>
      <c r="E93" t="s">
        <v>68</v>
      </c>
      <c r="F93" t="s">
        <v>18</v>
      </c>
      <c r="G93">
        <v>36</v>
      </c>
    </row>
    <row r="94" spans="1:7" x14ac:dyDescent="0.3">
      <c r="A94" t="s">
        <v>263</v>
      </c>
      <c r="B94" t="s">
        <v>264</v>
      </c>
      <c r="C94" t="s">
        <v>21</v>
      </c>
      <c r="D94" t="s">
        <v>265</v>
      </c>
      <c r="E94" t="s">
        <v>68</v>
      </c>
      <c r="F94" t="s">
        <v>18</v>
      </c>
      <c r="G94">
        <v>22</v>
      </c>
    </row>
    <row r="95" spans="1:7" x14ac:dyDescent="0.3">
      <c r="A95" t="s">
        <v>266</v>
      </c>
      <c r="B95" t="s">
        <v>58</v>
      </c>
      <c r="C95" t="s">
        <v>267</v>
      </c>
      <c r="D95" t="s">
        <v>268</v>
      </c>
      <c r="E95" t="s">
        <v>60</v>
      </c>
      <c r="F95" t="s">
        <v>18</v>
      </c>
      <c r="G95">
        <v>38</v>
      </c>
    </row>
    <row r="96" spans="1:7" x14ac:dyDescent="0.3">
      <c r="A96" t="s">
        <v>269</v>
      </c>
      <c r="B96" t="s">
        <v>270</v>
      </c>
      <c r="C96" t="s">
        <v>25</v>
      </c>
      <c r="D96" t="s">
        <v>271</v>
      </c>
      <c r="E96" t="s">
        <v>91</v>
      </c>
      <c r="F96" t="s">
        <v>18</v>
      </c>
      <c r="G96">
        <v>29</v>
      </c>
    </row>
    <row r="97" spans="1:7" x14ac:dyDescent="0.3">
      <c r="A97" t="s">
        <v>272</v>
      </c>
      <c r="B97" t="s">
        <v>273</v>
      </c>
      <c r="C97" t="s">
        <v>21</v>
      </c>
      <c r="D97" t="s">
        <v>274</v>
      </c>
      <c r="E97" t="s">
        <v>31</v>
      </c>
      <c r="F97" t="s">
        <v>12</v>
      </c>
      <c r="G97">
        <v>27</v>
      </c>
    </row>
    <row r="98" spans="1:7" x14ac:dyDescent="0.3">
      <c r="A98" t="s">
        <v>275</v>
      </c>
      <c r="B98" t="s">
        <v>82</v>
      </c>
      <c r="C98" t="s">
        <v>199</v>
      </c>
      <c r="D98" t="s">
        <v>276</v>
      </c>
      <c r="E98" t="s">
        <v>84</v>
      </c>
      <c r="F98" t="s">
        <v>12</v>
      </c>
      <c r="G98">
        <v>37</v>
      </c>
    </row>
    <row r="99" spans="1:7" x14ac:dyDescent="0.3">
      <c r="A99" t="s">
        <v>277</v>
      </c>
      <c r="B99" t="s">
        <v>207</v>
      </c>
      <c r="C99" t="s">
        <v>9</v>
      </c>
      <c r="D99" t="s">
        <v>278</v>
      </c>
      <c r="E99" t="s">
        <v>72</v>
      </c>
      <c r="F99" t="s">
        <v>18</v>
      </c>
      <c r="G99">
        <v>35</v>
      </c>
    </row>
    <row r="100" spans="1:7" x14ac:dyDescent="0.3">
      <c r="A100" t="s">
        <v>279</v>
      </c>
      <c r="B100" t="s">
        <v>33</v>
      </c>
      <c r="D100" t="s">
        <v>280</v>
      </c>
      <c r="E100" t="s">
        <v>68</v>
      </c>
      <c r="F100" t="s">
        <v>18</v>
      </c>
      <c r="G100">
        <v>21</v>
      </c>
    </row>
    <row r="101" spans="1:7" x14ac:dyDescent="0.3">
      <c r="A101" t="s">
        <v>281</v>
      </c>
      <c r="B101" t="s">
        <v>127</v>
      </c>
      <c r="C101" t="s">
        <v>25</v>
      </c>
      <c r="D101" t="s">
        <v>282</v>
      </c>
      <c r="E101" t="s">
        <v>49</v>
      </c>
      <c r="F101" t="s">
        <v>12</v>
      </c>
      <c r="G101">
        <v>40</v>
      </c>
    </row>
    <row r="102" spans="1:7" x14ac:dyDescent="0.3">
      <c r="A102" t="s">
        <v>46</v>
      </c>
      <c r="B102" t="s">
        <v>47</v>
      </c>
      <c r="C102" t="s">
        <v>25</v>
      </c>
      <c r="D102" t="s">
        <v>48</v>
      </c>
      <c r="E102" t="s">
        <v>49</v>
      </c>
      <c r="F102" t="s">
        <v>12</v>
      </c>
      <c r="G102">
        <v>22</v>
      </c>
    </row>
    <row r="103" spans="1:7" x14ac:dyDescent="0.3">
      <c r="A103" t="s">
        <v>81</v>
      </c>
      <c r="B103" t="s">
        <v>82</v>
      </c>
      <c r="C103" t="s">
        <v>79</v>
      </c>
      <c r="D103" t="s">
        <v>83</v>
      </c>
      <c r="E103" t="s">
        <v>84</v>
      </c>
      <c r="F103" t="s">
        <v>12</v>
      </c>
      <c r="G103">
        <v>32</v>
      </c>
    </row>
    <row r="104" spans="1:7" x14ac:dyDescent="0.3">
      <c r="A104" t="s">
        <v>109</v>
      </c>
      <c r="B104" t="s">
        <v>54</v>
      </c>
      <c r="C104" t="s">
        <v>110</v>
      </c>
      <c r="D104" t="s">
        <v>111</v>
      </c>
      <c r="F104" t="s">
        <v>18</v>
      </c>
      <c r="G104">
        <v>34</v>
      </c>
    </row>
    <row r="105" spans="1:7" x14ac:dyDescent="0.3">
      <c r="A105" t="s">
        <v>133</v>
      </c>
      <c r="B105" t="s">
        <v>96</v>
      </c>
      <c r="C105" t="s">
        <v>34</v>
      </c>
      <c r="D105" t="s">
        <v>134</v>
      </c>
      <c r="E105" t="s">
        <v>117</v>
      </c>
      <c r="F105" t="s">
        <v>18</v>
      </c>
      <c r="G105">
        <v>37</v>
      </c>
    </row>
    <row r="106" spans="1:7" x14ac:dyDescent="0.3">
      <c r="A106" t="s">
        <v>158</v>
      </c>
      <c r="B106" t="s">
        <v>54</v>
      </c>
      <c r="D106" t="s">
        <v>159</v>
      </c>
      <c r="E106" t="s">
        <v>17</v>
      </c>
      <c r="F106" t="s">
        <v>18</v>
      </c>
      <c r="G106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44DE-41C5-43D7-91B8-493B0E6C626D}">
  <dimension ref="A1:I101"/>
  <sheetViews>
    <sheetView workbookViewId="0">
      <selection activeCell="J33" sqref="J33"/>
    </sheetView>
  </sheetViews>
  <sheetFormatPr defaultRowHeight="14.4" x14ac:dyDescent="0.3"/>
  <cols>
    <col min="1" max="1" width="13" style="1" customWidth="1"/>
    <col min="2" max="3" width="20.44140625" style="1" customWidth="1"/>
    <col min="4" max="4" width="17.109375" style="1" customWidth="1"/>
    <col min="5" max="5" width="18.77734375" style="1" customWidth="1"/>
    <col min="6" max="6" width="23.6640625" style="1" customWidth="1"/>
    <col min="7" max="7" width="27" style="1" customWidth="1"/>
    <col min="8" max="8" width="10.77734375" style="1" customWidth="1"/>
    <col min="9" max="9" width="20.21875" style="1" customWidth="1"/>
    <col min="10" max="10" width="11.6640625" customWidth="1"/>
  </cols>
  <sheetData>
    <row r="1" spans="1:9" ht="15.6" x14ac:dyDescent="0.3">
      <c r="A1" s="2" t="s">
        <v>0</v>
      </c>
      <c r="B1" s="2" t="s">
        <v>290</v>
      </c>
      <c r="C1" s="2" t="s">
        <v>2</v>
      </c>
      <c r="D1" s="2" t="s">
        <v>3</v>
      </c>
      <c r="E1" s="2" t="s">
        <v>289</v>
      </c>
      <c r="F1" s="2" t="s">
        <v>4</v>
      </c>
      <c r="G1" s="2" t="s">
        <v>5</v>
      </c>
      <c r="H1" s="2" t="s">
        <v>6</v>
      </c>
      <c r="I1" s="2" t="s">
        <v>284</v>
      </c>
    </row>
    <row r="2" spans="1:9" x14ac:dyDescent="0.3">
      <c r="A2" s="1" t="s">
        <v>7</v>
      </c>
      <c r="B2" s="1" t="s">
        <v>8</v>
      </c>
      <c r="C2" s="1" t="s">
        <v>9</v>
      </c>
      <c r="D2" s="1">
        <v>9196361468</v>
      </c>
      <c r="E2" s="1" t="str">
        <f>IF(D2="","Blank",IF(LEN(D2)=10,"valid","invalid"))</f>
        <v>valid</v>
      </c>
      <c r="F2" s="1" t="s">
        <v>11</v>
      </c>
      <c r="G2" s="1" t="s">
        <v>12</v>
      </c>
      <c r="H2" s="1">
        <v>29</v>
      </c>
      <c r="I2" s="1" t="str" cm="1">
        <f t="array" ref="I2:I101">_xlfn.IFS(H2:H101&lt;=25,"Young",H2:H101&lt;=35,"Adult",H2:H101&gt;=36,"Senior")</f>
        <v>Adult</v>
      </c>
    </row>
    <row r="3" spans="1:9" x14ac:dyDescent="0.3">
      <c r="A3" s="1" t="s">
        <v>13</v>
      </c>
      <c r="B3" s="1" t="s">
        <v>54</v>
      </c>
      <c r="C3" s="1" t="s">
        <v>79</v>
      </c>
      <c r="D3" s="1">
        <v>9501869335</v>
      </c>
      <c r="E3" s="1" t="str">
        <f t="shared" ref="E3:E66" si="0">IF(D3="","Blank",IF(LEN(D3)=10,"valid","invalid"))</f>
        <v>valid</v>
      </c>
      <c r="F3" s="1" t="s">
        <v>17</v>
      </c>
      <c r="G3" s="1" t="s">
        <v>18</v>
      </c>
      <c r="H3" s="1">
        <v>29</v>
      </c>
      <c r="I3" s="1" t="str">
        <v>Adult</v>
      </c>
    </row>
    <row r="4" spans="1:9" x14ac:dyDescent="0.3">
      <c r="A4" s="1" t="s">
        <v>19</v>
      </c>
      <c r="B4" s="1" t="s">
        <v>136</v>
      </c>
      <c r="C4" s="1" t="s">
        <v>21</v>
      </c>
      <c r="D4" s="3"/>
      <c r="E4" s="1" t="str">
        <f t="shared" si="0"/>
        <v>Blank</v>
      </c>
      <c r="F4" s="1" t="s">
        <v>22</v>
      </c>
      <c r="G4" s="1" t="s">
        <v>18</v>
      </c>
      <c r="H4" s="1">
        <v>40</v>
      </c>
      <c r="I4" s="1" t="str">
        <v>Senior</v>
      </c>
    </row>
    <row r="5" spans="1:9" x14ac:dyDescent="0.3">
      <c r="A5" s="1" t="s">
        <v>23</v>
      </c>
      <c r="B5" s="1" t="s">
        <v>167</v>
      </c>
      <c r="C5" s="1" t="s">
        <v>25</v>
      </c>
      <c r="D5" s="1">
        <v>91280</v>
      </c>
      <c r="E5" s="1" t="str">
        <f t="shared" si="0"/>
        <v>invalid</v>
      </c>
      <c r="F5" s="1" t="s">
        <v>27</v>
      </c>
      <c r="G5" s="1" t="s">
        <v>12</v>
      </c>
      <c r="H5" s="1">
        <v>30</v>
      </c>
      <c r="I5" s="1" t="str">
        <v>Adult</v>
      </c>
    </row>
    <row r="6" spans="1:9" x14ac:dyDescent="0.3">
      <c r="A6" s="1" t="s">
        <v>28</v>
      </c>
      <c r="B6" s="1" t="s">
        <v>86</v>
      </c>
      <c r="D6" s="1">
        <v>9402823002</v>
      </c>
      <c r="E6" s="1" t="str">
        <f t="shared" si="0"/>
        <v>valid</v>
      </c>
      <c r="F6" s="1" t="s">
        <v>31</v>
      </c>
      <c r="G6" s="1" t="s">
        <v>12</v>
      </c>
      <c r="H6" s="1">
        <v>35</v>
      </c>
      <c r="I6" s="1" t="str">
        <v>Adult</v>
      </c>
    </row>
    <row r="7" spans="1:9" x14ac:dyDescent="0.3">
      <c r="A7" s="1" t="s">
        <v>32</v>
      </c>
      <c r="B7" s="1" t="s">
        <v>33</v>
      </c>
      <c r="C7" s="1" t="s">
        <v>34</v>
      </c>
      <c r="D7" s="1">
        <v>9108933969</v>
      </c>
      <c r="E7" s="1" t="str">
        <f t="shared" si="0"/>
        <v>valid</v>
      </c>
      <c r="F7" s="3"/>
      <c r="G7" s="1" t="s">
        <v>18</v>
      </c>
      <c r="H7" s="1">
        <v>37</v>
      </c>
      <c r="I7" s="1" t="str">
        <v>Senior</v>
      </c>
    </row>
    <row r="8" spans="1:9" x14ac:dyDescent="0.3">
      <c r="A8" s="1" t="s">
        <v>36</v>
      </c>
      <c r="B8" s="1" t="s">
        <v>37</v>
      </c>
      <c r="C8" s="1" t="s">
        <v>38</v>
      </c>
      <c r="D8" s="1">
        <v>9658582040</v>
      </c>
      <c r="E8" s="1" t="str">
        <f t="shared" si="0"/>
        <v>valid</v>
      </c>
      <c r="F8" s="1" t="s">
        <v>40</v>
      </c>
      <c r="G8" s="1" t="s">
        <v>12</v>
      </c>
      <c r="H8" s="1">
        <v>32</v>
      </c>
      <c r="I8" s="1" t="str">
        <v>Adult</v>
      </c>
    </row>
    <row r="9" spans="1:9" x14ac:dyDescent="0.3">
      <c r="A9" s="1" t="s">
        <v>41</v>
      </c>
      <c r="B9" s="1" t="s">
        <v>42</v>
      </c>
      <c r="C9" s="1" t="s">
        <v>34</v>
      </c>
      <c r="D9" s="1">
        <v>9087216808</v>
      </c>
      <c r="E9" s="1" t="str">
        <f t="shared" si="0"/>
        <v>valid</v>
      </c>
      <c r="F9" s="1" t="s">
        <v>45</v>
      </c>
      <c r="G9" s="1" t="s">
        <v>12</v>
      </c>
      <c r="H9" s="1">
        <v>43</v>
      </c>
      <c r="I9" s="1" t="str">
        <v>Senior</v>
      </c>
    </row>
    <row r="10" spans="1:9" x14ac:dyDescent="0.3">
      <c r="A10" s="1" t="s">
        <v>46</v>
      </c>
      <c r="B10" s="1" t="s">
        <v>47</v>
      </c>
      <c r="C10" s="1" t="s">
        <v>25</v>
      </c>
      <c r="D10" s="1">
        <v>94661</v>
      </c>
      <c r="E10" s="1" t="str">
        <f t="shared" si="0"/>
        <v>invalid</v>
      </c>
      <c r="F10" s="1" t="s">
        <v>49</v>
      </c>
      <c r="G10" s="1" t="s">
        <v>12</v>
      </c>
      <c r="H10" s="1">
        <v>22</v>
      </c>
      <c r="I10" s="1" t="str">
        <v>Young</v>
      </c>
    </row>
    <row r="11" spans="1:9" x14ac:dyDescent="0.3">
      <c r="A11" s="1" t="s">
        <v>50</v>
      </c>
      <c r="B11" s="1" t="s">
        <v>8</v>
      </c>
      <c r="C11" s="1" t="s">
        <v>9</v>
      </c>
      <c r="D11" s="1">
        <v>9488028597</v>
      </c>
      <c r="E11" s="1" t="str">
        <f t="shared" si="0"/>
        <v>valid</v>
      </c>
      <c r="F11" s="1" t="s">
        <v>11</v>
      </c>
      <c r="G11" s="1" t="s">
        <v>12</v>
      </c>
      <c r="H11" s="1">
        <v>22</v>
      </c>
      <c r="I11" s="1" t="str">
        <v>Young</v>
      </c>
    </row>
    <row r="12" spans="1:9" x14ac:dyDescent="0.3">
      <c r="A12" s="1" t="s">
        <v>53</v>
      </c>
      <c r="B12" s="1" t="s">
        <v>54</v>
      </c>
      <c r="C12" s="1" t="s">
        <v>55</v>
      </c>
      <c r="D12" s="1">
        <v>9576153728</v>
      </c>
      <c r="E12" s="1" t="str">
        <f t="shared" si="0"/>
        <v>valid</v>
      </c>
      <c r="F12" s="1" t="s">
        <v>17</v>
      </c>
      <c r="G12" s="1" t="s">
        <v>18</v>
      </c>
      <c r="H12" s="1">
        <v>26</v>
      </c>
      <c r="I12" s="1" t="str">
        <v>Adult</v>
      </c>
    </row>
    <row r="13" spans="1:9" x14ac:dyDescent="0.3">
      <c r="A13" s="1" t="s">
        <v>57</v>
      </c>
      <c r="B13" s="1" t="s">
        <v>58</v>
      </c>
      <c r="C13" s="1" t="s">
        <v>21</v>
      </c>
      <c r="D13" s="1">
        <v>9255162375</v>
      </c>
      <c r="E13" s="1" t="str">
        <f t="shared" si="0"/>
        <v>valid</v>
      </c>
      <c r="F13" s="1" t="s">
        <v>60</v>
      </c>
      <c r="G13" s="1" t="s">
        <v>18</v>
      </c>
      <c r="H13" s="1">
        <v>27</v>
      </c>
      <c r="I13" s="1" t="str">
        <v>Adult</v>
      </c>
    </row>
    <row r="14" spans="1:9" x14ac:dyDescent="0.3">
      <c r="A14" s="1" t="s">
        <v>61</v>
      </c>
      <c r="B14" s="1" t="s">
        <v>54</v>
      </c>
      <c r="C14" s="1" t="s">
        <v>38</v>
      </c>
      <c r="D14" s="1">
        <v>9900188453</v>
      </c>
      <c r="E14" s="1" t="str">
        <f t="shared" si="0"/>
        <v>valid</v>
      </c>
      <c r="F14" s="1" t="s">
        <v>17</v>
      </c>
      <c r="G14" s="1" t="s">
        <v>18</v>
      </c>
      <c r="H14" s="1">
        <v>26</v>
      </c>
      <c r="I14" s="1" t="str">
        <v>Adult</v>
      </c>
    </row>
    <row r="15" spans="1:9" x14ac:dyDescent="0.3">
      <c r="A15" s="1" t="s">
        <v>63</v>
      </c>
      <c r="B15" s="1" t="s">
        <v>54</v>
      </c>
      <c r="C15" s="1" t="s">
        <v>55</v>
      </c>
      <c r="D15" s="1">
        <v>9931544828</v>
      </c>
      <c r="E15" s="1" t="str">
        <f t="shared" si="0"/>
        <v>valid</v>
      </c>
      <c r="F15" s="3"/>
      <c r="G15" s="1" t="s">
        <v>18</v>
      </c>
      <c r="H15" s="1">
        <v>30</v>
      </c>
      <c r="I15" s="1" t="str">
        <v>Adult</v>
      </c>
    </row>
    <row r="16" spans="1:9" x14ac:dyDescent="0.3">
      <c r="A16" s="1" t="s">
        <v>66</v>
      </c>
      <c r="B16" s="1" t="s">
        <v>33</v>
      </c>
      <c r="C16" s="1" t="s">
        <v>25</v>
      </c>
      <c r="D16" s="1">
        <v>9298313295</v>
      </c>
      <c r="E16" s="1" t="str">
        <f t="shared" si="0"/>
        <v>valid</v>
      </c>
      <c r="F16" s="1" t="s">
        <v>68</v>
      </c>
      <c r="G16" s="1" t="s">
        <v>18</v>
      </c>
      <c r="H16" s="1">
        <v>45</v>
      </c>
      <c r="I16" s="1" t="str">
        <v>Senior</v>
      </c>
    </row>
    <row r="17" spans="1:9" x14ac:dyDescent="0.3">
      <c r="A17" s="1" t="s">
        <v>69</v>
      </c>
      <c r="B17" s="1" t="s">
        <v>70</v>
      </c>
      <c r="C17" s="1" t="s">
        <v>55</v>
      </c>
      <c r="D17" s="1">
        <v>9437088610</v>
      </c>
      <c r="E17" s="1" t="str">
        <f t="shared" si="0"/>
        <v>valid</v>
      </c>
      <c r="F17" s="1" t="s">
        <v>72</v>
      </c>
      <c r="G17" s="1" t="s">
        <v>18</v>
      </c>
      <c r="H17" s="1">
        <v>28</v>
      </c>
      <c r="I17" s="1" t="str">
        <v>Adult</v>
      </c>
    </row>
    <row r="18" spans="1:9" x14ac:dyDescent="0.3">
      <c r="A18" s="1" t="s">
        <v>73</v>
      </c>
      <c r="B18" s="1" t="s">
        <v>74</v>
      </c>
      <c r="C18" s="1" t="s">
        <v>283</v>
      </c>
      <c r="D18" s="1">
        <v>9957918670</v>
      </c>
      <c r="E18" s="1" t="str">
        <f t="shared" si="0"/>
        <v>valid</v>
      </c>
      <c r="F18" s="1" t="s">
        <v>76</v>
      </c>
      <c r="G18" s="1" t="s">
        <v>12</v>
      </c>
      <c r="H18" s="1">
        <v>34</v>
      </c>
      <c r="I18" s="1" t="str">
        <v>Adult</v>
      </c>
    </row>
    <row r="19" spans="1:9" x14ac:dyDescent="0.3">
      <c r="A19" s="1" t="s">
        <v>77</v>
      </c>
      <c r="B19" s="1" t="s">
        <v>74</v>
      </c>
      <c r="C19" s="1" t="s">
        <v>79</v>
      </c>
      <c r="D19" s="1">
        <v>9297906224</v>
      </c>
      <c r="E19" s="1" t="str">
        <f t="shared" si="0"/>
        <v>valid</v>
      </c>
      <c r="F19" s="1" t="s">
        <v>76</v>
      </c>
      <c r="G19" s="1" t="s">
        <v>12</v>
      </c>
      <c r="H19" s="1">
        <v>27</v>
      </c>
      <c r="I19" s="1" t="str">
        <v>Adult</v>
      </c>
    </row>
    <row r="20" spans="1:9" x14ac:dyDescent="0.3">
      <c r="A20" s="1" t="s">
        <v>81</v>
      </c>
      <c r="B20" s="1" t="s">
        <v>82</v>
      </c>
      <c r="C20" s="1" t="s">
        <v>79</v>
      </c>
      <c r="D20" s="1">
        <v>9300870608</v>
      </c>
      <c r="E20" s="1" t="str">
        <f t="shared" si="0"/>
        <v>valid</v>
      </c>
      <c r="F20" s="1" t="s">
        <v>84</v>
      </c>
      <c r="G20" s="1" t="s">
        <v>12</v>
      </c>
      <c r="H20" s="1">
        <v>32</v>
      </c>
      <c r="I20" s="1" t="str">
        <v>Adult</v>
      </c>
    </row>
    <row r="21" spans="1:9" x14ac:dyDescent="0.3">
      <c r="A21" s="1" t="s">
        <v>85</v>
      </c>
      <c r="B21" s="1" t="s">
        <v>86</v>
      </c>
      <c r="C21" s="1" t="s">
        <v>21</v>
      </c>
      <c r="D21" s="1">
        <v>9862003565</v>
      </c>
      <c r="E21" s="1" t="str">
        <f t="shared" si="0"/>
        <v>valid</v>
      </c>
      <c r="F21" s="1" t="s">
        <v>31</v>
      </c>
      <c r="G21" s="1" t="s">
        <v>12</v>
      </c>
      <c r="H21" s="1">
        <v>23</v>
      </c>
      <c r="I21" s="1" t="str">
        <v>Young</v>
      </c>
    </row>
    <row r="22" spans="1:9" x14ac:dyDescent="0.3">
      <c r="A22" s="1" t="s">
        <v>88</v>
      </c>
      <c r="B22" s="1" t="s">
        <v>225</v>
      </c>
      <c r="C22" s="1" t="s">
        <v>55</v>
      </c>
      <c r="D22" s="1">
        <v>9102506354</v>
      </c>
      <c r="E22" s="1" t="str">
        <f t="shared" si="0"/>
        <v>valid</v>
      </c>
      <c r="F22" s="1" t="s">
        <v>91</v>
      </c>
      <c r="G22" s="1" t="s">
        <v>18</v>
      </c>
      <c r="H22" s="1">
        <v>34</v>
      </c>
      <c r="I22" s="1" t="str">
        <v>Adult</v>
      </c>
    </row>
    <row r="23" spans="1:9" x14ac:dyDescent="0.3">
      <c r="A23" s="1" t="s">
        <v>92</v>
      </c>
      <c r="B23" s="1" t="s">
        <v>74</v>
      </c>
      <c r="C23" s="1" t="s">
        <v>55</v>
      </c>
      <c r="D23" s="3"/>
      <c r="E23" s="1" t="str">
        <f t="shared" si="0"/>
        <v>Blank</v>
      </c>
      <c r="F23" s="1" t="s">
        <v>76</v>
      </c>
      <c r="G23" s="1" t="s">
        <v>12</v>
      </c>
      <c r="H23" s="1">
        <v>20</v>
      </c>
      <c r="I23" s="1" t="str">
        <v>Young</v>
      </c>
    </row>
    <row r="24" spans="1:9" x14ac:dyDescent="0.3">
      <c r="A24" s="1" t="s">
        <v>93</v>
      </c>
      <c r="B24" s="1" t="s">
        <v>33</v>
      </c>
      <c r="C24" s="1" t="s">
        <v>21</v>
      </c>
      <c r="D24" s="1">
        <v>9654860251</v>
      </c>
      <c r="E24" s="1" t="str">
        <f t="shared" si="0"/>
        <v>valid</v>
      </c>
      <c r="F24" s="1" t="s">
        <v>68</v>
      </c>
      <c r="G24" s="1" t="s">
        <v>18</v>
      </c>
      <c r="H24" s="1">
        <v>24</v>
      </c>
      <c r="I24" s="1" t="str">
        <v>Young</v>
      </c>
    </row>
    <row r="25" spans="1:9" x14ac:dyDescent="0.3">
      <c r="A25" s="1" t="s">
        <v>95</v>
      </c>
      <c r="B25" s="1" t="s">
        <v>96</v>
      </c>
      <c r="C25" s="1" t="s">
        <v>79</v>
      </c>
      <c r="D25" s="1">
        <v>9049987722</v>
      </c>
      <c r="E25" s="1" t="str">
        <f t="shared" si="0"/>
        <v>valid</v>
      </c>
      <c r="F25" s="3"/>
      <c r="G25" s="1" t="s">
        <v>18</v>
      </c>
      <c r="H25" s="1">
        <v>28</v>
      </c>
      <c r="I25" s="1" t="str">
        <v>Adult</v>
      </c>
    </row>
    <row r="26" spans="1:9" x14ac:dyDescent="0.3">
      <c r="A26" s="1" t="s">
        <v>98</v>
      </c>
      <c r="B26" s="1" t="s">
        <v>82</v>
      </c>
      <c r="C26" s="1" t="s">
        <v>21</v>
      </c>
      <c r="D26" s="1">
        <v>9158149443</v>
      </c>
      <c r="E26" s="1" t="str">
        <f t="shared" si="0"/>
        <v>valid</v>
      </c>
      <c r="F26" s="1" t="s">
        <v>84</v>
      </c>
      <c r="G26" s="1" t="s">
        <v>12</v>
      </c>
      <c r="H26" s="1">
        <v>36</v>
      </c>
      <c r="I26" s="1" t="str">
        <v>Senior</v>
      </c>
    </row>
    <row r="27" spans="1:9" x14ac:dyDescent="0.3">
      <c r="A27" s="1" t="s">
        <v>101</v>
      </c>
      <c r="B27" s="1" t="s">
        <v>8</v>
      </c>
      <c r="C27" s="1" t="s">
        <v>283</v>
      </c>
      <c r="D27" s="1">
        <v>9423352933</v>
      </c>
      <c r="E27" s="1" t="str">
        <f t="shared" si="0"/>
        <v>valid</v>
      </c>
      <c r="F27" s="1" t="s">
        <v>11</v>
      </c>
      <c r="G27" s="1" t="s">
        <v>12</v>
      </c>
      <c r="H27" s="1">
        <v>39</v>
      </c>
      <c r="I27" s="1" t="str">
        <v>Senior</v>
      </c>
    </row>
    <row r="28" spans="1:9" x14ac:dyDescent="0.3">
      <c r="A28" s="1" t="s">
        <v>103</v>
      </c>
      <c r="B28" s="1" t="s">
        <v>47</v>
      </c>
      <c r="C28" s="1" t="s">
        <v>21</v>
      </c>
      <c r="D28" s="1">
        <v>9991044441</v>
      </c>
      <c r="E28" s="1" t="str">
        <f t="shared" si="0"/>
        <v>valid</v>
      </c>
      <c r="F28" s="1" t="s">
        <v>49</v>
      </c>
      <c r="G28" s="1" t="s">
        <v>12</v>
      </c>
      <c r="H28" s="1">
        <v>22</v>
      </c>
      <c r="I28" s="1" t="str">
        <v>Young</v>
      </c>
    </row>
    <row r="29" spans="1:9" x14ac:dyDescent="0.3">
      <c r="A29" s="1" t="s">
        <v>106</v>
      </c>
      <c r="B29" s="1" t="s">
        <v>58</v>
      </c>
      <c r="C29" s="1" t="s">
        <v>9</v>
      </c>
      <c r="D29" s="1">
        <v>9882586258</v>
      </c>
      <c r="E29" s="1" t="str">
        <f t="shared" si="0"/>
        <v>valid</v>
      </c>
      <c r="F29" s="3"/>
      <c r="G29" s="1" t="s">
        <v>18</v>
      </c>
      <c r="H29" s="1">
        <v>38</v>
      </c>
      <c r="I29" s="1" t="str">
        <v>Senior</v>
      </c>
    </row>
    <row r="30" spans="1:9" x14ac:dyDescent="0.3">
      <c r="A30" s="1" t="s">
        <v>109</v>
      </c>
      <c r="B30" s="1" t="s">
        <v>54</v>
      </c>
      <c r="C30" s="1" t="s">
        <v>38</v>
      </c>
      <c r="D30" s="1">
        <v>9246972866</v>
      </c>
      <c r="E30" s="1" t="str">
        <f t="shared" si="0"/>
        <v>valid</v>
      </c>
      <c r="F30" s="3"/>
      <c r="G30" s="1" t="s">
        <v>18</v>
      </c>
      <c r="H30" s="1">
        <v>34</v>
      </c>
      <c r="I30" s="1" t="str">
        <v>Adult</v>
      </c>
    </row>
    <row r="31" spans="1:9" x14ac:dyDescent="0.3">
      <c r="A31" s="1" t="s">
        <v>112</v>
      </c>
      <c r="B31" s="1" t="s">
        <v>54</v>
      </c>
      <c r="C31" s="1" t="s">
        <v>25</v>
      </c>
      <c r="D31" s="1">
        <v>9399901936</v>
      </c>
      <c r="E31" s="1" t="str">
        <f t="shared" si="0"/>
        <v>valid</v>
      </c>
      <c r="F31" s="1" t="s">
        <v>17</v>
      </c>
      <c r="G31" s="1" t="s">
        <v>18</v>
      </c>
      <c r="H31" s="1">
        <v>26</v>
      </c>
      <c r="I31" s="1" t="str">
        <v>Adult</v>
      </c>
    </row>
    <row r="32" spans="1:9" x14ac:dyDescent="0.3">
      <c r="A32" s="1" t="s">
        <v>115</v>
      </c>
      <c r="B32" s="1" t="s">
        <v>96</v>
      </c>
      <c r="C32" s="1" t="s">
        <v>79</v>
      </c>
      <c r="D32" s="1">
        <v>97306</v>
      </c>
      <c r="E32" s="1" t="str">
        <f t="shared" si="0"/>
        <v>invalid</v>
      </c>
      <c r="F32" s="1" t="s">
        <v>117</v>
      </c>
      <c r="G32" s="1" t="s">
        <v>18</v>
      </c>
      <c r="H32" s="1">
        <v>41</v>
      </c>
      <c r="I32" s="1" t="str">
        <v>Senior</v>
      </c>
    </row>
    <row r="33" spans="1:9" x14ac:dyDescent="0.3">
      <c r="A33" s="1" t="s">
        <v>118</v>
      </c>
      <c r="B33" s="1" t="s">
        <v>54</v>
      </c>
      <c r="C33" s="1" t="s">
        <v>9</v>
      </c>
      <c r="D33" s="1">
        <v>9676533700</v>
      </c>
      <c r="E33" s="1" t="str">
        <f t="shared" si="0"/>
        <v>valid</v>
      </c>
      <c r="F33" s="1" t="s">
        <v>17</v>
      </c>
      <c r="G33" s="1" t="s">
        <v>18</v>
      </c>
      <c r="H33" s="1">
        <v>36</v>
      </c>
      <c r="I33" s="1" t="str">
        <v>Senior</v>
      </c>
    </row>
    <row r="34" spans="1:9" x14ac:dyDescent="0.3">
      <c r="A34" s="1" t="s">
        <v>121</v>
      </c>
      <c r="B34" s="1" t="s">
        <v>54</v>
      </c>
      <c r="C34" s="1" t="s">
        <v>21</v>
      </c>
      <c r="D34" s="3"/>
      <c r="E34" s="1" t="str">
        <f t="shared" si="0"/>
        <v>Blank</v>
      </c>
      <c r="F34" s="1" t="s">
        <v>17</v>
      </c>
      <c r="G34" s="1" t="s">
        <v>18</v>
      </c>
      <c r="H34" s="1">
        <v>23</v>
      </c>
      <c r="I34" s="1" t="str">
        <v>Young</v>
      </c>
    </row>
    <row r="35" spans="1:9" x14ac:dyDescent="0.3">
      <c r="A35" s="1" t="s">
        <v>122</v>
      </c>
      <c r="B35" s="1" t="s">
        <v>82</v>
      </c>
      <c r="C35" s="1" t="s">
        <v>79</v>
      </c>
      <c r="D35" s="1">
        <v>9026670894</v>
      </c>
      <c r="E35" s="1" t="str">
        <f t="shared" si="0"/>
        <v>valid</v>
      </c>
      <c r="F35" s="1" t="s">
        <v>84</v>
      </c>
      <c r="G35" s="1" t="s">
        <v>12</v>
      </c>
      <c r="H35" s="1">
        <v>20</v>
      </c>
      <c r="I35" s="1" t="str">
        <v>Young</v>
      </c>
    </row>
    <row r="36" spans="1:9" x14ac:dyDescent="0.3">
      <c r="A36" s="1" t="s">
        <v>124</v>
      </c>
      <c r="B36" s="1" t="s">
        <v>74</v>
      </c>
      <c r="C36" s="1" t="s">
        <v>9</v>
      </c>
      <c r="D36" s="1">
        <v>9921682683</v>
      </c>
      <c r="E36" s="1" t="str">
        <f t="shared" si="0"/>
        <v>valid</v>
      </c>
      <c r="F36" s="1" t="s">
        <v>76</v>
      </c>
      <c r="G36" s="1" t="s">
        <v>12</v>
      </c>
      <c r="H36" s="1">
        <v>38</v>
      </c>
      <c r="I36" s="1" t="str">
        <v>Senior</v>
      </c>
    </row>
    <row r="37" spans="1:9" x14ac:dyDescent="0.3">
      <c r="A37" s="1" t="s">
        <v>126</v>
      </c>
      <c r="B37" s="1" t="s">
        <v>47</v>
      </c>
      <c r="C37" s="1" t="s">
        <v>38</v>
      </c>
      <c r="D37" s="1">
        <v>97216</v>
      </c>
      <c r="E37" s="1" t="str">
        <f t="shared" si="0"/>
        <v>invalid</v>
      </c>
      <c r="F37" s="1" t="s">
        <v>49</v>
      </c>
      <c r="G37" s="1" t="s">
        <v>12</v>
      </c>
      <c r="H37" s="1">
        <v>33</v>
      </c>
      <c r="I37" s="1" t="str">
        <v>Adult</v>
      </c>
    </row>
    <row r="38" spans="1:9" x14ac:dyDescent="0.3">
      <c r="A38" s="1" t="s">
        <v>129</v>
      </c>
      <c r="B38" s="1" t="s">
        <v>96</v>
      </c>
      <c r="C38" s="1" t="s">
        <v>55</v>
      </c>
      <c r="D38" s="1">
        <v>9680434757</v>
      </c>
      <c r="E38" s="1" t="str">
        <f t="shared" si="0"/>
        <v>valid</v>
      </c>
      <c r="F38" s="1" t="s">
        <v>117</v>
      </c>
      <c r="G38" s="1" t="s">
        <v>18</v>
      </c>
      <c r="H38" s="1">
        <v>29</v>
      </c>
      <c r="I38" s="1" t="str">
        <v>Adult</v>
      </c>
    </row>
    <row r="39" spans="1:9" x14ac:dyDescent="0.3">
      <c r="A39" s="1" t="s">
        <v>131</v>
      </c>
      <c r="B39" s="1" t="s">
        <v>47</v>
      </c>
      <c r="C39" s="1" t="s">
        <v>25</v>
      </c>
      <c r="D39" s="1">
        <v>93711</v>
      </c>
      <c r="E39" s="1" t="str">
        <f t="shared" si="0"/>
        <v>invalid</v>
      </c>
      <c r="F39" s="1" t="s">
        <v>49</v>
      </c>
      <c r="G39" s="1" t="s">
        <v>12</v>
      </c>
      <c r="H39" s="1">
        <v>38</v>
      </c>
      <c r="I39" s="1" t="str">
        <v>Senior</v>
      </c>
    </row>
    <row r="40" spans="1:9" x14ac:dyDescent="0.3">
      <c r="A40" s="1" t="s">
        <v>133</v>
      </c>
      <c r="B40" s="1" t="s">
        <v>96</v>
      </c>
      <c r="C40" s="1" t="s">
        <v>34</v>
      </c>
      <c r="D40" s="1">
        <v>9647022412</v>
      </c>
      <c r="E40" s="1" t="str">
        <f t="shared" si="0"/>
        <v>valid</v>
      </c>
      <c r="F40" s="1" t="s">
        <v>117</v>
      </c>
      <c r="G40" s="1" t="s">
        <v>18</v>
      </c>
      <c r="H40" s="1">
        <v>37</v>
      </c>
      <c r="I40" s="1" t="str">
        <v>Senior</v>
      </c>
    </row>
    <row r="41" spans="1:9" x14ac:dyDescent="0.3">
      <c r="A41" s="1" t="s">
        <v>135</v>
      </c>
      <c r="B41" s="1" t="s">
        <v>136</v>
      </c>
      <c r="C41" s="1" t="s">
        <v>38</v>
      </c>
      <c r="D41" s="1">
        <v>9210445432</v>
      </c>
      <c r="E41" s="1" t="str">
        <f t="shared" si="0"/>
        <v>valid</v>
      </c>
      <c r="F41" s="1" t="s">
        <v>22</v>
      </c>
      <c r="G41" s="1" t="s">
        <v>18</v>
      </c>
      <c r="H41" s="1">
        <v>34</v>
      </c>
      <c r="I41" s="1" t="str">
        <v>Adult</v>
      </c>
    </row>
    <row r="42" spans="1:9" x14ac:dyDescent="0.3">
      <c r="A42" s="1" t="s">
        <v>138</v>
      </c>
      <c r="B42" s="1" t="s">
        <v>37</v>
      </c>
      <c r="C42" s="1" t="s">
        <v>9</v>
      </c>
      <c r="D42" s="1">
        <v>9856894349</v>
      </c>
      <c r="E42" s="1" t="str">
        <f t="shared" si="0"/>
        <v>valid</v>
      </c>
      <c r="F42" s="1" t="s">
        <v>40</v>
      </c>
      <c r="G42" s="1" t="s">
        <v>12</v>
      </c>
      <c r="H42" s="1">
        <v>39</v>
      </c>
      <c r="I42" s="1" t="str">
        <v>Senior</v>
      </c>
    </row>
    <row r="43" spans="1:9" x14ac:dyDescent="0.3">
      <c r="A43" s="1" t="s">
        <v>140</v>
      </c>
      <c r="B43" s="1" t="s">
        <v>8</v>
      </c>
      <c r="C43" s="1" t="s">
        <v>79</v>
      </c>
      <c r="D43" s="1">
        <v>9377732382</v>
      </c>
      <c r="E43" s="1" t="str">
        <f t="shared" si="0"/>
        <v>valid</v>
      </c>
      <c r="F43" s="1" t="s">
        <v>11</v>
      </c>
      <c r="G43" s="1" t="s">
        <v>12</v>
      </c>
      <c r="H43" s="1">
        <v>43</v>
      </c>
      <c r="I43" s="1" t="str">
        <v>Senior</v>
      </c>
    </row>
    <row r="44" spans="1:9" x14ac:dyDescent="0.3">
      <c r="A44" s="1" t="s">
        <v>142</v>
      </c>
      <c r="B44" s="1" t="s">
        <v>82</v>
      </c>
      <c r="C44" s="1" t="s">
        <v>9</v>
      </c>
      <c r="D44" s="1">
        <v>9699980582</v>
      </c>
      <c r="E44" s="1" t="str">
        <f t="shared" si="0"/>
        <v>valid</v>
      </c>
      <c r="F44" s="1" t="s">
        <v>84</v>
      </c>
      <c r="G44" s="1" t="s">
        <v>12</v>
      </c>
      <c r="H44" s="1">
        <v>44</v>
      </c>
      <c r="I44" s="1" t="str">
        <v>Senior</v>
      </c>
    </row>
    <row r="45" spans="1:9" x14ac:dyDescent="0.3">
      <c r="A45" s="1" t="s">
        <v>145</v>
      </c>
      <c r="B45" s="1" t="s">
        <v>136</v>
      </c>
      <c r="C45" s="1" t="s">
        <v>21</v>
      </c>
      <c r="D45" s="1">
        <v>9572146646</v>
      </c>
      <c r="E45" s="1" t="str">
        <f t="shared" si="0"/>
        <v>valid</v>
      </c>
      <c r="F45" s="1" t="s">
        <v>22</v>
      </c>
      <c r="G45" s="1" t="s">
        <v>18</v>
      </c>
      <c r="H45" s="1">
        <v>22</v>
      </c>
      <c r="I45" s="1" t="str">
        <v>Young</v>
      </c>
    </row>
    <row r="46" spans="1:9" x14ac:dyDescent="0.3">
      <c r="A46" s="1" t="s">
        <v>147</v>
      </c>
      <c r="B46" s="1" t="s">
        <v>33</v>
      </c>
      <c r="C46" s="1" t="s">
        <v>21</v>
      </c>
      <c r="D46" s="1">
        <v>9972121287</v>
      </c>
      <c r="E46" s="1" t="str">
        <f t="shared" si="0"/>
        <v>valid</v>
      </c>
      <c r="F46" s="1" t="s">
        <v>68</v>
      </c>
      <c r="G46" s="1" t="s">
        <v>18</v>
      </c>
      <c r="H46" s="1">
        <v>38</v>
      </c>
      <c r="I46" s="1" t="str">
        <v>Senior</v>
      </c>
    </row>
    <row r="47" spans="1:9" x14ac:dyDescent="0.3">
      <c r="A47" s="1" t="s">
        <v>150</v>
      </c>
      <c r="B47" s="1" t="s">
        <v>136</v>
      </c>
      <c r="C47" s="1" t="s">
        <v>38</v>
      </c>
      <c r="D47" s="1">
        <v>91668</v>
      </c>
      <c r="E47" s="1" t="str">
        <f t="shared" si="0"/>
        <v>invalid</v>
      </c>
      <c r="F47" s="1" t="s">
        <v>22</v>
      </c>
      <c r="G47" s="1" t="s">
        <v>18</v>
      </c>
      <c r="H47" s="1">
        <v>44</v>
      </c>
      <c r="I47" s="1" t="str">
        <v>Senior</v>
      </c>
    </row>
    <row r="48" spans="1:9" x14ac:dyDescent="0.3">
      <c r="A48" s="1" t="s">
        <v>153</v>
      </c>
      <c r="B48" s="1" t="s">
        <v>54</v>
      </c>
      <c r="C48" s="1" t="s">
        <v>34</v>
      </c>
      <c r="D48" s="1">
        <v>9920137106</v>
      </c>
      <c r="E48" s="1" t="str">
        <f t="shared" si="0"/>
        <v>valid</v>
      </c>
      <c r="F48" s="3"/>
      <c r="G48" s="1" t="s">
        <v>18</v>
      </c>
      <c r="H48" s="1">
        <v>42</v>
      </c>
      <c r="I48" s="1" t="str">
        <v>Senior</v>
      </c>
    </row>
    <row r="49" spans="1:9" x14ac:dyDescent="0.3">
      <c r="A49" s="1" t="s">
        <v>155</v>
      </c>
      <c r="B49" s="1" t="s">
        <v>82</v>
      </c>
      <c r="C49" s="1" t="s">
        <v>34</v>
      </c>
      <c r="D49" s="1">
        <v>9181174968</v>
      </c>
      <c r="E49" s="1" t="str">
        <f t="shared" si="0"/>
        <v>valid</v>
      </c>
      <c r="F49" s="1" t="s">
        <v>84</v>
      </c>
      <c r="G49" s="1" t="s">
        <v>12</v>
      </c>
      <c r="H49" s="1">
        <v>26</v>
      </c>
      <c r="I49" s="1" t="str">
        <v>Adult</v>
      </c>
    </row>
    <row r="50" spans="1:9" x14ac:dyDescent="0.3">
      <c r="A50" s="1" t="s">
        <v>158</v>
      </c>
      <c r="B50" s="1" t="s">
        <v>54</v>
      </c>
      <c r="C50" s="1" t="s">
        <v>283</v>
      </c>
      <c r="D50" s="1">
        <v>9660447993</v>
      </c>
      <c r="E50" s="1" t="str">
        <f t="shared" si="0"/>
        <v>valid</v>
      </c>
      <c r="F50" s="1" t="s">
        <v>17</v>
      </c>
      <c r="G50" s="1" t="s">
        <v>18</v>
      </c>
      <c r="H50" s="1">
        <v>33</v>
      </c>
      <c r="I50" s="1" t="str">
        <v>Adult</v>
      </c>
    </row>
    <row r="51" spans="1:9" x14ac:dyDescent="0.3">
      <c r="A51" s="1" t="s">
        <v>160</v>
      </c>
      <c r="B51" s="1" t="s">
        <v>96</v>
      </c>
      <c r="C51" s="1" t="s">
        <v>79</v>
      </c>
      <c r="D51" s="1">
        <v>9003487264</v>
      </c>
      <c r="E51" s="1" t="str">
        <f t="shared" si="0"/>
        <v>valid</v>
      </c>
      <c r="F51" s="1" t="s">
        <v>117</v>
      </c>
      <c r="G51" s="1" t="s">
        <v>18</v>
      </c>
      <c r="H51" s="1">
        <v>44</v>
      </c>
      <c r="I51" s="1" t="str">
        <v>Senior</v>
      </c>
    </row>
    <row r="52" spans="1:9" x14ac:dyDescent="0.3">
      <c r="A52" s="1" t="s">
        <v>163</v>
      </c>
      <c r="B52" s="1" t="s">
        <v>96</v>
      </c>
      <c r="C52" s="1" t="s">
        <v>25</v>
      </c>
      <c r="D52" s="1">
        <v>9584258895</v>
      </c>
      <c r="E52" s="1" t="str">
        <f t="shared" si="0"/>
        <v>valid</v>
      </c>
      <c r="F52" s="1" t="s">
        <v>117</v>
      </c>
      <c r="G52" s="1" t="s">
        <v>18</v>
      </c>
      <c r="H52" s="1">
        <v>33</v>
      </c>
      <c r="I52" s="1" t="str">
        <v>Adult</v>
      </c>
    </row>
    <row r="53" spans="1:9" x14ac:dyDescent="0.3">
      <c r="A53" s="1" t="s">
        <v>166</v>
      </c>
      <c r="B53" s="1" t="s">
        <v>167</v>
      </c>
      <c r="C53" s="1" t="s">
        <v>79</v>
      </c>
      <c r="D53" s="1">
        <v>9421510384</v>
      </c>
      <c r="E53" s="1" t="str">
        <f t="shared" si="0"/>
        <v>valid</v>
      </c>
      <c r="F53" s="1" t="s">
        <v>27</v>
      </c>
      <c r="G53" s="1" t="s">
        <v>12</v>
      </c>
      <c r="H53" s="1">
        <v>20</v>
      </c>
      <c r="I53" s="1" t="str">
        <v>Young</v>
      </c>
    </row>
    <row r="54" spans="1:9" x14ac:dyDescent="0.3">
      <c r="A54" s="1" t="s">
        <v>170</v>
      </c>
      <c r="B54" s="1" t="s">
        <v>33</v>
      </c>
      <c r="C54" s="1" t="s">
        <v>25</v>
      </c>
      <c r="D54" s="1">
        <v>9153909765</v>
      </c>
      <c r="E54" s="1" t="str">
        <f t="shared" si="0"/>
        <v>valid</v>
      </c>
      <c r="F54" s="1" t="s">
        <v>68</v>
      </c>
      <c r="G54" s="1" t="s">
        <v>18</v>
      </c>
      <c r="H54" s="1">
        <v>31</v>
      </c>
      <c r="I54" s="1" t="str">
        <v>Adult</v>
      </c>
    </row>
    <row r="55" spans="1:9" x14ac:dyDescent="0.3">
      <c r="A55" s="1" t="s">
        <v>172</v>
      </c>
      <c r="B55" s="1" t="s">
        <v>8</v>
      </c>
      <c r="C55" s="1" t="s">
        <v>34</v>
      </c>
      <c r="D55" s="1">
        <v>9367730182</v>
      </c>
      <c r="E55" s="1" t="str">
        <f t="shared" si="0"/>
        <v>valid</v>
      </c>
      <c r="F55" s="1" t="s">
        <v>11</v>
      </c>
      <c r="G55" s="1" t="s">
        <v>12</v>
      </c>
      <c r="H55" s="1">
        <v>30</v>
      </c>
      <c r="I55" s="1" t="str">
        <v>Adult</v>
      </c>
    </row>
    <row r="56" spans="1:9" x14ac:dyDescent="0.3">
      <c r="A56" s="1" t="s">
        <v>175</v>
      </c>
      <c r="B56" s="1" t="s">
        <v>47</v>
      </c>
      <c r="C56" s="1" t="s">
        <v>38</v>
      </c>
      <c r="D56" s="3"/>
      <c r="E56" s="1" t="str">
        <f t="shared" si="0"/>
        <v>Blank</v>
      </c>
      <c r="F56" s="1" t="s">
        <v>49</v>
      </c>
      <c r="G56" s="1" t="s">
        <v>12</v>
      </c>
      <c r="H56" s="1">
        <v>43</v>
      </c>
      <c r="I56" s="1" t="str">
        <v>Senior</v>
      </c>
    </row>
    <row r="57" spans="1:9" x14ac:dyDescent="0.3">
      <c r="A57" s="1" t="s">
        <v>176</v>
      </c>
      <c r="B57" s="1" t="s">
        <v>54</v>
      </c>
      <c r="C57" s="1" t="s">
        <v>55</v>
      </c>
      <c r="D57" s="1">
        <v>9005584590</v>
      </c>
      <c r="E57" s="1" t="str">
        <f t="shared" si="0"/>
        <v>valid</v>
      </c>
      <c r="F57" s="1" t="s">
        <v>17</v>
      </c>
      <c r="G57" s="1" t="s">
        <v>18</v>
      </c>
      <c r="H57" s="1">
        <v>21</v>
      </c>
      <c r="I57" s="1" t="str">
        <v>Young</v>
      </c>
    </row>
    <row r="58" spans="1:9" x14ac:dyDescent="0.3">
      <c r="A58" s="1" t="s">
        <v>178</v>
      </c>
      <c r="B58" s="1" t="s">
        <v>54</v>
      </c>
      <c r="C58" s="1" t="s">
        <v>34</v>
      </c>
      <c r="D58" s="1">
        <v>9180683936</v>
      </c>
      <c r="E58" s="1" t="str">
        <f t="shared" si="0"/>
        <v>valid</v>
      </c>
      <c r="F58" s="1" t="s">
        <v>17</v>
      </c>
      <c r="G58" s="1" t="s">
        <v>18</v>
      </c>
      <c r="H58" s="1">
        <v>39</v>
      </c>
      <c r="I58" s="1" t="str">
        <v>Senior</v>
      </c>
    </row>
    <row r="59" spans="1:9" x14ac:dyDescent="0.3">
      <c r="A59" s="1" t="s">
        <v>180</v>
      </c>
      <c r="B59" s="1" t="s">
        <v>54</v>
      </c>
      <c r="C59" s="1" t="s">
        <v>25</v>
      </c>
      <c r="D59" s="1">
        <v>9001205088</v>
      </c>
      <c r="E59" s="1" t="str">
        <f t="shared" si="0"/>
        <v>valid</v>
      </c>
      <c r="F59" s="1" t="s">
        <v>17</v>
      </c>
      <c r="G59" s="1" t="s">
        <v>18</v>
      </c>
      <c r="H59" s="1">
        <v>39</v>
      </c>
      <c r="I59" s="1" t="str">
        <v>Senior</v>
      </c>
    </row>
    <row r="60" spans="1:9" x14ac:dyDescent="0.3">
      <c r="A60" s="1" t="s">
        <v>183</v>
      </c>
      <c r="B60" s="1" t="s">
        <v>74</v>
      </c>
      <c r="C60" s="1" t="s">
        <v>79</v>
      </c>
      <c r="D60" s="1">
        <v>9287117109</v>
      </c>
      <c r="E60" s="1" t="str">
        <f t="shared" si="0"/>
        <v>valid</v>
      </c>
      <c r="F60" s="1" t="s">
        <v>76</v>
      </c>
      <c r="G60" s="1" t="s">
        <v>12</v>
      </c>
      <c r="H60" s="1">
        <v>42</v>
      </c>
      <c r="I60" s="1" t="str">
        <v>Senior</v>
      </c>
    </row>
    <row r="61" spans="1:9" x14ac:dyDescent="0.3">
      <c r="A61" s="1" t="s">
        <v>186</v>
      </c>
      <c r="B61" s="1" t="s">
        <v>167</v>
      </c>
      <c r="C61" s="1" t="s">
        <v>38</v>
      </c>
      <c r="D61" s="1">
        <v>9345690014</v>
      </c>
      <c r="E61" s="1" t="str">
        <f t="shared" si="0"/>
        <v>valid</v>
      </c>
      <c r="F61" s="1" t="s">
        <v>27</v>
      </c>
      <c r="G61" s="1" t="s">
        <v>12</v>
      </c>
      <c r="H61" s="1">
        <v>23</v>
      </c>
      <c r="I61" s="1" t="str">
        <v>Young</v>
      </c>
    </row>
    <row r="62" spans="1:9" x14ac:dyDescent="0.3">
      <c r="A62" s="1" t="s">
        <v>188</v>
      </c>
      <c r="B62" s="1" t="s">
        <v>86</v>
      </c>
      <c r="C62" s="1" t="s">
        <v>21</v>
      </c>
      <c r="D62" s="1">
        <v>9512169075</v>
      </c>
      <c r="E62" s="1" t="str">
        <f t="shared" si="0"/>
        <v>valid</v>
      </c>
      <c r="F62" s="1" t="s">
        <v>31</v>
      </c>
      <c r="G62" s="1" t="s">
        <v>12</v>
      </c>
      <c r="H62" s="1">
        <v>23</v>
      </c>
      <c r="I62" s="1" t="str">
        <v>Young</v>
      </c>
    </row>
    <row r="63" spans="1:9" x14ac:dyDescent="0.3">
      <c r="A63" s="1" t="s">
        <v>191</v>
      </c>
      <c r="B63" s="1" t="s">
        <v>58</v>
      </c>
      <c r="C63" s="1" t="s">
        <v>55</v>
      </c>
      <c r="D63" s="1">
        <v>9429345244</v>
      </c>
      <c r="E63" s="1" t="str">
        <f t="shared" si="0"/>
        <v>valid</v>
      </c>
      <c r="F63" s="1" t="s">
        <v>60</v>
      </c>
      <c r="G63" s="1" t="s">
        <v>18</v>
      </c>
      <c r="H63" s="1">
        <v>31</v>
      </c>
      <c r="I63" s="1" t="str">
        <v>Adult</v>
      </c>
    </row>
    <row r="64" spans="1:9" x14ac:dyDescent="0.3">
      <c r="A64" s="1" t="s">
        <v>193</v>
      </c>
      <c r="B64" s="1" t="s">
        <v>82</v>
      </c>
      <c r="C64" s="1" t="s">
        <v>34</v>
      </c>
      <c r="D64" s="1">
        <v>9446464392</v>
      </c>
      <c r="E64" s="1" t="str">
        <f t="shared" si="0"/>
        <v>valid</v>
      </c>
      <c r="F64" s="1" t="s">
        <v>84</v>
      </c>
      <c r="G64" s="1" t="s">
        <v>12</v>
      </c>
      <c r="H64" s="1">
        <v>29</v>
      </c>
      <c r="I64" s="1" t="str">
        <v>Adult</v>
      </c>
    </row>
    <row r="65" spans="1:9" x14ac:dyDescent="0.3">
      <c r="A65" s="1" t="s">
        <v>196</v>
      </c>
      <c r="B65" s="1" t="s">
        <v>42</v>
      </c>
      <c r="C65" s="1" t="s">
        <v>25</v>
      </c>
      <c r="D65" s="1">
        <v>9794631507</v>
      </c>
      <c r="E65" s="1" t="str">
        <f t="shared" si="0"/>
        <v>valid</v>
      </c>
      <c r="F65" s="1" t="s">
        <v>45</v>
      </c>
      <c r="G65" s="1" t="s">
        <v>12</v>
      </c>
      <c r="H65" s="1">
        <v>20</v>
      </c>
      <c r="I65" s="1" t="str">
        <v>Young</v>
      </c>
    </row>
    <row r="66" spans="1:9" x14ac:dyDescent="0.3">
      <c r="A66" s="1" t="s">
        <v>198</v>
      </c>
      <c r="B66" s="1" t="s">
        <v>54</v>
      </c>
      <c r="C66" s="1" t="s">
        <v>55</v>
      </c>
      <c r="D66" s="1">
        <v>9090347586</v>
      </c>
      <c r="E66" s="1" t="str">
        <f t="shared" si="0"/>
        <v>valid</v>
      </c>
      <c r="F66" s="1" t="s">
        <v>17</v>
      </c>
      <c r="G66" s="1" t="s">
        <v>18</v>
      </c>
      <c r="H66" s="1">
        <v>43</v>
      </c>
      <c r="I66" s="1" t="str">
        <v>Senior</v>
      </c>
    </row>
    <row r="67" spans="1:9" x14ac:dyDescent="0.3">
      <c r="A67" s="1" t="s">
        <v>201</v>
      </c>
      <c r="B67" s="1" t="s">
        <v>47</v>
      </c>
      <c r="C67" s="1" t="s">
        <v>9</v>
      </c>
      <c r="D67" s="1">
        <v>9503186262</v>
      </c>
      <c r="E67" s="1" t="str">
        <f t="shared" ref="E67:E101" si="1">IF(D67="","Blank",IF(LEN(D67)=10,"valid","invalid"))</f>
        <v>valid</v>
      </c>
      <c r="F67" s="1" t="s">
        <v>49</v>
      </c>
      <c r="G67" s="1" t="s">
        <v>12</v>
      </c>
      <c r="H67" s="1">
        <v>32</v>
      </c>
      <c r="I67" s="1" t="str">
        <v>Adult</v>
      </c>
    </row>
    <row r="68" spans="1:9" x14ac:dyDescent="0.3">
      <c r="A68" s="1" t="s">
        <v>204</v>
      </c>
      <c r="B68" s="1" t="s">
        <v>37</v>
      </c>
      <c r="C68" s="1" t="s">
        <v>25</v>
      </c>
      <c r="D68" s="1">
        <v>9226154693</v>
      </c>
      <c r="E68" s="1" t="str">
        <f t="shared" si="1"/>
        <v>valid</v>
      </c>
      <c r="F68" s="1" t="s">
        <v>40</v>
      </c>
      <c r="G68" s="1" t="s">
        <v>12</v>
      </c>
      <c r="H68" s="1">
        <v>22</v>
      </c>
      <c r="I68" s="1" t="str">
        <v>Young</v>
      </c>
    </row>
    <row r="69" spans="1:9" x14ac:dyDescent="0.3">
      <c r="A69" s="1" t="s">
        <v>206</v>
      </c>
      <c r="B69" s="1" t="s">
        <v>70</v>
      </c>
      <c r="C69" s="1" t="s">
        <v>25</v>
      </c>
      <c r="D69" s="1">
        <v>92563</v>
      </c>
      <c r="E69" s="1" t="str">
        <f t="shared" si="1"/>
        <v>invalid</v>
      </c>
      <c r="F69" s="1" t="s">
        <v>72</v>
      </c>
      <c r="G69" s="1" t="s">
        <v>18</v>
      </c>
      <c r="H69" s="1">
        <v>39</v>
      </c>
      <c r="I69" s="1" t="str">
        <v>Senior</v>
      </c>
    </row>
    <row r="70" spans="1:9" x14ac:dyDescent="0.3">
      <c r="A70" s="1" t="s">
        <v>209</v>
      </c>
      <c r="B70" s="1" t="s">
        <v>54</v>
      </c>
      <c r="C70" s="1" t="s">
        <v>79</v>
      </c>
      <c r="D70" s="1">
        <v>9793219270</v>
      </c>
      <c r="E70" s="1" t="str">
        <f t="shared" si="1"/>
        <v>valid</v>
      </c>
      <c r="F70" s="1" t="s">
        <v>17</v>
      </c>
      <c r="G70" s="1" t="s">
        <v>18</v>
      </c>
      <c r="H70" s="1">
        <v>32</v>
      </c>
      <c r="I70" s="1" t="str">
        <v>Adult</v>
      </c>
    </row>
    <row r="71" spans="1:9" x14ac:dyDescent="0.3">
      <c r="A71" s="1" t="s">
        <v>211</v>
      </c>
      <c r="B71" s="1" t="s">
        <v>167</v>
      </c>
      <c r="C71" s="1" t="s">
        <v>25</v>
      </c>
      <c r="D71" s="1">
        <v>9632134149</v>
      </c>
      <c r="E71" s="1" t="str">
        <f t="shared" si="1"/>
        <v>valid</v>
      </c>
      <c r="F71" s="1" t="s">
        <v>27</v>
      </c>
      <c r="G71" s="1" t="s">
        <v>12</v>
      </c>
      <c r="H71" s="1">
        <v>24</v>
      </c>
      <c r="I71" s="1" t="str">
        <v>Young</v>
      </c>
    </row>
    <row r="72" spans="1:9" x14ac:dyDescent="0.3">
      <c r="A72" s="1" t="s">
        <v>214</v>
      </c>
      <c r="B72" s="1" t="s">
        <v>8</v>
      </c>
      <c r="C72" s="1" t="s">
        <v>34</v>
      </c>
      <c r="D72" s="1">
        <v>9390033982</v>
      </c>
      <c r="E72" s="1" t="str">
        <f t="shared" si="1"/>
        <v>valid</v>
      </c>
      <c r="F72" s="1" t="s">
        <v>11</v>
      </c>
      <c r="G72" s="1" t="s">
        <v>12</v>
      </c>
      <c r="H72" s="1">
        <v>43</v>
      </c>
      <c r="I72" s="1" t="str">
        <v>Senior</v>
      </c>
    </row>
    <row r="73" spans="1:9" x14ac:dyDescent="0.3">
      <c r="A73" s="1" t="s">
        <v>216</v>
      </c>
      <c r="B73" s="1" t="s">
        <v>37</v>
      </c>
      <c r="C73" s="1" t="s">
        <v>34</v>
      </c>
      <c r="D73" s="1">
        <v>9012193810</v>
      </c>
      <c r="E73" s="1" t="str">
        <f t="shared" si="1"/>
        <v>valid</v>
      </c>
      <c r="F73" s="3"/>
      <c r="G73" s="1" t="s">
        <v>12</v>
      </c>
      <c r="H73" s="1">
        <v>43</v>
      </c>
      <c r="I73" s="1" t="str">
        <v>Senior</v>
      </c>
    </row>
    <row r="74" spans="1:9" x14ac:dyDescent="0.3">
      <c r="A74" s="1" t="s">
        <v>218</v>
      </c>
      <c r="B74" s="1" t="s">
        <v>136</v>
      </c>
      <c r="C74" s="1" t="s">
        <v>34</v>
      </c>
      <c r="D74" s="1">
        <v>9352399933</v>
      </c>
      <c r="E74" s="1" t="str">
        <f t="shared" si="1"/>
        <v>valid</v>
      </c>
      <c r="F74" s="1" t="s">
        <v>22</v>
      </c>
      <c r="G74" s="1" t="s">
        <v>18</v>
      </c>
      <c r="H74" s="1">
        <v>25</v>
      </c>
      <c r="I74" s="1" t="str">
        <v>Young</v>
      </c>
    </row>
    <row r="75" spans="1:9" x14ac:dyDescent="0.3">
      <c r="A75" s="1" t="s">
        <v>220</v>
      </c>
      <c r="B75" s="1" t="s">
        <v>74</v>
      </c>
      <c r="C75" s="1" t="s">
        <v>34</v>
      </c>
      <c r="D75" s="1">
        <v>9492350616</v>
      </c>
      <c r="E75" s="1" t="str">
        <f t="shared" si="1"/>
        <v>valid</v>
      </c>
      <c r="F75" s="1" t="s">
        <v>76</v>
      </c>
      <c r="G75" s="1" t="s">
        <v>12</v>
      </c>
      <c r="H75" s="1">
        <v>43</v>
      </c>
      <c r="I75" s="1" t="str">
        <v>Senior</v>
      </c>
    </row>
    <row r="76" spans="1:9" x14ac:dyDescent="0.3">
      <c r="A76" s="1" t="s">
        <v>222</v>
      </c>
      <c r="B76" s="1" t="s">
        <v>54</v>
      </c>
      <c r="C76" s="1" t="s">
        <v>9</v>
      </c>
      <c r="D76" s="1">
        <v>9216605296</v>
      </c>
      <c r="E76" s="1" t="str">
        <f t="shared" si="1"/>
        <v>valid</v>
      </c>
      <c r="F76" s="1" t="s">
        <v>17</v>
      </c>
      <c r="G76" s="1" t="s">
        <v>18</v>
      </c>
      <c r="H76" s="1">
        <v>43</v>
      </c>
      <c r="I76" s="1" t="str">
        <v>Senior</v>
      </c>
    </row>
    <row r="77" spans="1:9" x14ac:dyDescent="0.3">
      <c r="A77" s="1" t="s">
        <v>224</v>
      </c>
      <c r="B77" s="1" t="s">
        <v>225</v>
      </c>
      <c r="C77" s="1" t="s">
        <v>38</v>
      </c>
      <c r="D77" s="1">
        <v>9771920282</v>
      </c>
      <c r="E77" s="1" t="str">
        <f t="shared" si="1"/>
        <v>valid</v>
      </c>
      <c r="F77" s="3"/>
      <c r="G77" s="1" t="s">
        <v>18</v>
      </c>
      <c r="H77" s="1">
        <v>40</v>
      </c>
      <c r="I77" s="1" t="str">
        <v>Senior</v>
      </c>
    </row>
    <row r="78" spans="1:9" x14ac:dyDescent="0.3">
      <c r="A78" s="1" t="s">
        <v>227</v>
      </c>
      <c r="B78" s="1" t="s">
        <v>54</v>
      </c>
      <c r="C78" s="1" t="s">
        <v>55</v>
      </c>
      <c r="D78" s="1">
        <v>9563928930</v>
      </c>
      <c r="E78" s="1" t="str">
        <f t="shared" si="1"/>
        <v>valid</v>
      </c>
      <c r="F78" s="1" t="s">
        <v>17</v>
      </c>
      <c r="G78" s="1" t="s">
        <v>18</v>
      </c>
      <c r="H78" s="1">
        <v>28</v>
      </c>
      <c r="I78" s="1" t="str">
        <v>Adult</v>
      </c>
    </row>
    <row r="79" spans="1:9" x14ac:dyDescent="0.3">
      <c r="A79" s="1" t="s">
        <v>230</v>
      </c>
      <c r="B79" s="1" t="s">
        <v>33</v>
      </c>
      <c r="C79" s="1" t="s">
        <v>79</v>
      </c>
      <c r="D79" s="1">
        <v>9167086391</v>
      </c>
      <c r="E79" s="1" t="str">
        <f t="shared" si="1"/>
        <v>valid</v>
      </c>
      <c r="F79" s="1" t="s">
        <v>68</v>
      </c>
      <c r="G79" s="1" t="s">
        <v>18</v>
      </c>
      <c r="H79" s="1">
        <v>26</v>
      </c>
      <c r="I79" s="1" t="str">
        <v>Adult</v>
      </c>
    </row>
    <row r="80" spans="1:9" x14ac:dyDescent="0.3">
      <c r="A80" s="1" t="s">
        <v>232</v>
      </c>
      <c r="B80" s="1" t="s">
        <v>70</v>
      </c>
      <c r="C80" s="1" t="s">
        <v>283</v>
      </c>
      <c r="D80" s="1">
        <v>9009492609</v>
      </c>
      <c r="E80" s="1" t="str">
        <f t="shared" si="1"/>
        <v>valid</v>
      </c>
      <c r="F80" s="1" t="s">
        <v>72</v>
      </c>
      <c r="G80" s="1" t="s">
        <v>18</v>
      </c>
      <c r="H80" s="1">
        <v>23</v>
      </c>
      <c r="I80" s="1" t="str">
        <v>Young</v>
      </c>
    </row>
    <row r="81" spans="1:9" x14ac:dyDescent="0.3">
      <c r="A81" s="1" t="s">
        <v>234</v>
      </c>
      <c r="B81" s="1" t="s">
        <v>33</v>
      </c>
      <c r="C81" s="1" t="s">
        <v>79</v>
      </c>
      <c r="D81" s="1">
        <v>9859860725</v>
      </c>
      <c r="E81" s="1" t="str">
        <f t="shared" si="1"/>
        <v>valid</v>
      </c>
      <c r="F81" s="1" t="s">
        <v>68</v>
      </c>
      <c r="G81" s="1" t="s">
        <v>18</v>
      </c>
      <c r="H81" s="1">
        <v>26</v>
      </c>
      <c r="I81" s="1" t="str">
        <v>Adult</v>
      </c>
    </row>
    <row r="82" spans="1:9" x14ac:dyDescent="0.3">
      <c r="A82" s="1" t="s">
        <v>236</v>
      </c>
      <c r="B82" s="1" t="s">
        <v>86</v>
      </c>
      <c r="C82" s="1" t="s">
        <v>79</v>
      </c>
      <c r="D82" s="1">
        <v>9700592125</v>
      </c>
      <c r="E82" s="1" t="str">
        <f t="shared" si="1"/>
        <v>valid</v>
      </c>
      <c r="F82" s="1" t="s">
        <v>31</v>
      </c>
      <c r="G82" s="1" t="s">
        <v>12</v>
      </c>
      <c r="H82" s="1">
        <v>29</v>
      </c>
      <c r="I82" s="1" t="str">
        <v>Adult</v>
      </c>
    </row>
    <row r="83" spans="1:9" x14ac:dyDescent="0.3">
      <c r="A83" s="1" t="s">
        <v>238</v>
      </c>
      <c r="B83" s="1" t="s">
        <v>54</v>
      </c>
      <c r="C83" s="1" t="s">
        <v>79</v>
      </c>
      <c r="D83" s="1">
        <v>9538510814</v>
      </c>
      <c r="E83" s="1" t="str">
        <f t="shared" si="1"/>
        <v>valid</v>
      </c>
      <c r="F83" s="1" t="s">
        <v>17</v>
      </c>
      <c r="G83" s="1" t="s">
        <v>18</v>
      </c>
      <c r="H83" s="1">
        <v>27</v>
      </c>
      <c r="I83" s="1" t="str">
        <v>Adult</v>
      </c>
    </row>
    <row r="84" spans="1:9" x14ac:dyDescent="0.3">
      <c r="A84" s="1" t="s">
        <v>240</v>
      </c>
      <c r="B84" s="1" t="s">
        <v>70</v>
      </c>
      <c r="C84" s="1" t="s">
        <v>55</v>
      </c>
      <c r="D84" s="1">
        <v>9779022848</v>
      </c>
      <c r="E84" s="1" t="str">
        <f t="shared" si="1"/>
        <v>valid</v>
      </c>
      <c r="F84" s="1" t="s">
        <v>72</v>
      </c>
      <c r="G84" s="1" t="s">
        <v>18</v>
      </c>
      <c r="H84" s="1">
        <v>40</v>
      </c>
      <c r="I84" s="1" t="str">
        <v>Senior</v>
      </c>
    </row>
    <row r="85" spans="1:9" x14ac:dyDescent="0.3">
      <c r="A85" s="1" t="s">
        <v>243</v>
      </c>
      <c r="B85" s="1" t="s">
        <v>225</v>
      </c>
      <c r="C85" s="1" t="s">
        <v>34</v>
      </c>
      <c r="D85" s="1">
        <v>9548340400</v>
      </c>
      <c r="E85" s="1" t="str">
        <f t="shared" si="1"/>
        <v>valid</v>
      </c>
      <c r="F85" s="1" t="s">
        <v>91</v>
      </c>
      <c r="G85" s="1" t="s">
        <v>18</v>
      </c>
      <c r="H85" s="1">
        <v>45</v>
      </c>
      <c r="I85" s="1" t="str">
        <v>Senior</v>
      </c>
    </row>
    <row r="86" spans="1:9" x14ac:dyDescent="0.3">
      <c r="A86" s="1" t="s">
        <v>245</v>
      </c>
      <c r="B86" s="1" t="s">
        <v>58</v>
      </c>
      <c r="C86" s="1" t="s">
        <v>25</v>
      </c>
      <c r="D86" s="1">
        <v>9876345418</v>
      </c>
      <c r="E86" s="1" t="str">
        <f t="shared" si="1"/>
        <v>valid</v>
      </c>
      <c r="F86" s="1" t="s">
        <v>60</v>
      </c>
      <c r="G86" s="1" t="s">
        <v>18</v>
      </c>
      <c r="H86" s="1">
        <v>26</v>
      </c>
      <c r="I86" s="1" t="str">
        <v>Adult</v>
      </c>
    </row>
    <row r="87" spans="1:9" x14ac:dyDescent="0.3">
      <c r="A87" s="1" t="s">
        <v>247</v>
      </c>
      <c r="B87" s="1" t="s">
        <v>8</v>
      </c>
      <c r="C87" s="1" t="s">
        <v>21</v>
      </c>
      <c r="D87" s="1">
        <v>9912727004</v>
      </c>
      <c r="E87" s="1" t="str">
        <f t="shared" si="1"/>
        <v>valid</v>
      </c>
      <c r="F87" s="1" t="s">
        <v>11</v>
      </c>
      <c r="G87" s="1" t="s">
        <v>12</v>
      </c>
      <c r="H87" s="1">
        <v>25</v>
      </c>
      <c r="I87" s="1" t="str">
        <v>Young</v>
      </c>
    </row>
    <row r="88" spans="1:9" x14ac:dyDescent="0.3">
      <c r="A88" s="1" t="s">
        <v>249</v>
      </c>
      <c r="B88" s="1" t="s">
        <v>74</v>
      </c>
      <c r="C88" s="1" t="s">
        <v>34</v>
      </c>
      <c r="D88" s="1">
        <v>9053150051</v>
      </c>
      <c r="E88" s="1" t="str">
        <f t="shared" si="1"/>
        <v>valid</v>
      </c>
      <c r="F88" s="1" t="s">
        <v>76</v>
      </c>
      <c r="G88" s="1" t="s">
        <v>12</v>
      </c>
      <c r="H88" s="1">
        <v>42</v>
      </c>
      <c r="I88" s="1" t="str">
        <v>Senior</v>
      </c>
    </row>
    <row r="89" spans="1:9" x14ac:dyDescent="0.3">
      <c r="A89" s="1" t="s">
        <v>251</v>
      </c>
      <c r="B89" s="1" t="s">
        <v>42</v>
      </c>
      <c r="C89" s="1" t="s">
        <v>55</v>
      </c>
      <c r="D89" s="1">
        <v>9970521853</v>
      </c>
      <c r="E89" s="1" t="str">
        <f t="shared" si="1"/>
        <v>valid</v>
      </c>
      <c r="F89" s="1" t="s">
        <v>45</v>
      </c>
      <c r="G89" s="1" t="s">
        <v>12</v>
      </c>
      <c r="H89" s="1">
        <v>37</v>
      </c>
      <c r="I89" s="1" t="str">
        <v>Senior</v>
      </c>
    </row>
    <row r="90" spans="1:9" x14ac:dyDescent="0.3">
      <c r="A90" s="1" t="s">
        <v>253</v>
      </c>
      <c r="B90" s="1" t="s">
        <v>58</v>
      </c>
      <c r="C90" s="1" t="s">
        <v>79</v>
      </c>
      <c r="D90" s="1">
        <v>9598712328</v>
      </c>
      <c r="E90" s="1" t="str">
        <f t="shared" si="1"/>
        <v>valid</v>
      </c>
      <c r="F90" s="1" t="s">
        <v>60</v>
      </c>
      <c r="G90" s="1" t="s">
        <v>18</v>
      </c>
      <c r="H90" s="1">
        <v>23</v>
      </c>
      <c r="I90" s="1" t="str">
        <v>Young</v>
      </c>
    </row>
    <row r="91" spans="1:9" x14ac:dyDescent="0.3">
      <c r="A91" s="1" t="s">
        <v>255</v>
      </c>
      <c r="B91" s="1" t="s">
        <v>37</v>
      </c>
      <c r="C91" s="1" t="s">
        <v>9</v>
      </c>
      <c r="D91" s="1">
        <v>9185264400</v>
      </c>
      <c r="E91" s="1" t="str">
        <f t="shared" si="1"/>
        <v>valid</v>
      </c>
      <c r="F91" s="1" t="s">
        <v>40</v>
      </c>
      <c r="G91" s="1" t="s">
        <v>12</v>
      </c>
      <c r="H91" s="1">
        <v>27</v>
      </c>
      <c r="I91" s="1" t="str">
        <v>Adult</v>
      </c>
    </row>
    <row r="92" spans="1:9" x14ac:dyDescent="0.3">
      <c r="A92" s="1" t="s">
        <v>258</v>
      </c>
      <c r="B92" s="1" t="s">
        <v>47</v>
      </c>
      <c r="C92" s="1" t="s">
        <v>9</v>
      </c>
      <c r="D92" s="1">
        <v>9391795729</v>
      </c>
      <c r="E92" s="1" t="str">
        <f t="shared" si="1"/>
        <v>valid</v>
      </c>
      <c r="F92" s="1" t="s">
        <v>49</v>
      </c>
      <c r="G92" s="1" t="s">
        <v>12</v>
      </c>
      <c r="H92" s="1">
        <v>32</v>
      </c>
      <c r="I92" s="1" t="str">
        <v>Adult</v>
      </c>
    </row>
    <row r="93" spans="1:9" x14ac:dyDescent="0.3">
      <c r="A93" s="1" t="s">
        <v>261</v>
      </c>
      <c r="B93" s="1" t="s">
        <v>33</v>
      </c>
      <c r="C93" s="1" t="s">
        <v>21</v>
      </c>
      <c r="D93" s="1">
        <v>9116123669</v>
      </c>
      <c r="E93" s="1" t="str">
        <f t="shared" si="1"/>
        <v>valid</v>
      </c>
      <c r="F93" s="1" t="s">
        <v>68</v>
      </c>
      <c r="G93" s="1" t="s">
        <v>18</v>
      </c>
      <c r="H93" s="1">
        <v>36</v>
      </c>
      <c r="I93" s="1" t="str">
        <v>Senior</v>
      </c>
    </row>
    <row r="94" spans="1:9" x14ac:dyDescent="0.3">
      <c r="A94" s="1" t="s">
        <v>263</v>
      </c>
      <c r="B94" s="1" t="s">
        <v>33</v>
      </c>
      <c r="C94" s="1" t="s">
        <v>21</v>
      </c>
      <c r="D94" s="1">
        <v>9684167170</v>
      </c>
      <c r="E94" s="1" t="str">
        <f t="shared" si="1"/>
        <v>valid</v>
      </c>
      <c r="F94" s="1" t="s">
        <v>68</v>
      </c>
      <c r="G94" s="1" t="s">
        <v>18</v>
      </c>
      <c r="H94" s="1">
        <v>22</v>
      </c>
      <c r="I94" s="1" t="str">
        <v>Young</v>
      </c>
    </row>
    <row r="95" spans="1:9" x14ac:dyDescent="0.3">
      <c r="A95" s="1" t="s">
        <v>266</v>
      </c>
      <c r="B95" s="1" t="s">
        <v>58</v>
      </c>
      <c r="C95" s="1" t="s">
        <v>79</v>
      </c>
      <c r="D95" s="1">
        <v>9925289950</v>
      </c>
      <c r="E95" s="1" t="str">
        <f t="shared" si="1"/>
        <v>valid</v>
      </c>
      <c r="F95" s="1" t="s">
        <v>60</v>
      </c>
      <c r="G95" s="1" t="s">
        <v>18</v>
      </c>
      <c r="H95" s="1">
        <v>38</v>
      </c>
      <c r="I95" s="1" t="str">
        <v>Senior</v>
      </c>
    </row>
    <row r="96" spans="1:9" x14ac:dyDescent="0.3">
      <c r="A96" s="1" t="s">
        <v>269</v>
      </c>
      <c r="B96" s="1" t="s">
        <v>225</v>
      </c>
      <c r="C96" s="1" t="s">
        <v>25</v>
      </c>
      <c r="D96" s="1">
        <v>9916368827</v>
      </c>
      <c r="E96" s="1" t="str">
        <f t="shared" si="1"/>
        <v>valid</v>
      </c>
      <c r="F96" s="1" t="s">
        <v>91</v>
      </c>
      <c r="G96" s="1" t="s">
        <v>18</v>
      </c>
      <c r="H96" s="1">
        <v>29</v>
      </c>
      <c r="I96" s="1" t="str">
        <v>Adult</v>
      </c>
    </row>
    <row r="97" spans="1:9" x14ac:dyDescent="0.3">
      <c r="A97" s="1" t="s">
        <v>272</v>
      </c>
      <c r="B97" s="1" t="s">
        <v>86</v>
      </c>
      <c r="C97" s="1" t="s">
        <v>21</v>
      </c>
      <c r="D97" s="1">
        <v>9881866870</v>
      </c>
      <c r="E97" s="1" t="str">
        <f t="shared" si="1"/>
        <v>valid</v>
      </c>
      <c r="F97" s="1" t="s">
        <v>31</v>
      </c>
      <c r="G97" s="1" t="s">
        <v>12</v>
      </c>
      <c r="H97" s="1">
        <v>27</v>
      </c>
      <c r="I97" s="1" t="str">
        <v>Adult</v>
      </c>
    </row>
    <row r="98" spans="1:9" x14ac:dyDescent="0.3">
      <c r="A98" s="1" t="s">
        <v>275</v>
      </c>
      <c r="B98" s="1" t="s">
        <v>82</v>
      </c>
      <c r="C98" s="1" t="s">
        <v>55</v>
      </c>
      <c r="D98" s="1">
        <v>9123463927</v>
      </c>
      <c r="E98" s="1" t="str">
        <f t="shared" si="1"/>
        <v>valid</v>
      </c>
      <c r="F98" s="1" t="s">
        <v>84</v>
      </c>
      <c r="G98" s="1" t="s">
        <v>12</v>
      </c>
      <c r="H98" s="1">
        <v>37</v>
      </c>
      <c r="I98" s="1" t="str">
        <v>Senior</v>
      </c>
    </row>
    <row r="99" spans="1:9" x14ac:dyDescent="0.3">
      <c r="A99" s="1" t="s">
        <v>277</v>
      </c>
      <c r="B99" s="1" t="s">
        <v>70</v>
      </c>
      <c r="C99" s="1" t="s">
        <v>9</v>
      </c>
      <c r="D99" s="1">
        <v>9721948815</v>
      </c>
      <c r="E99" s="1" t="str">
        <f t="shared" si="1"/>
        <v>valid</v>
      </c>
      <c r="F99" s="1" t="s">
        <v>72</v>
      </c>
      <c r="G99" s="1" t="s">
        <v>18</v>
      </c>
      <c r="H99" s="1">
        <v>35</v>
      </c>
      <c r="I99" s="1" t="str">
        <v>Adult</v>
      </c>
    </row>
    <row r="100" spans="1:9" x14ac:dyDescent="0.3">
      <c r="A100" s="1" t="s">
        <v>279</v>
      </c>
      <c r="B100" s="1" t="s">
        <v>33</v>
      </c>
      <c r="C100" s="1" t="s">
        <v>283</v>
      </c>
      <c r="D100" s="1">
        <v>9460077767</v>
      </c>
      <c r="E100" s="1" t="str">
        <f t="shared" si="1"/>
        <v>valid</v>
      </c>
      <c r="F100" s="1" t="s">
        <v>68</v>
      </c>
      <c r="G100" s="1" t="s">
        <v>18</v>
      </c>
      <c r="H100" s="1">
        <v>21</v>
      </c>
      <c r="I100" s="1" t="str">
        <v>Young</v>
      </c>
    </row>
    <row r="101" spans="1:9" x14ac:dyDescent="0.3">
      <c r="A101" s="1" t="s">
        <v>281</v>
      </c>
      <c r="B101" s="1" t="s">
        <v>47</v>
      </c>
      <c r="C101" s="1" t="s">
        <v>25</v>
      </c>
      <c r="D101" s="1">
        <v>9164739147</v>
      </c>
      <c r="E101" s="1" t="str">
        <f t="shared" si="1"/>
        <v>valid</v>
      </c>
      <c r="F101" s="1" t="s">
        <v>49</v>
      </c>
      <c r="G101" s="1" t="s">
        <v>12</v>
      </c>
      <c r="H101" s="1">
        <v>40</v>
      </c>
      <c r="I101" s="1" t="str">
        <v>Senior</v>
      </c>
    </row>
  </sheetData>
  <conditionalFormatting sqref="C2:C101">
    <cfRule type="containsBlanks" dxfId="0" priority="1">
      <formula>LEN(TRIM(C2))=0</formula>
    </cfRule>
    <cfRule type="containsBlanks" priority="2">
      <formula>LEN(TRIM(C2))=0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6CF5-8494-4394-BE33-9CA4D9480F7D}">
  <dimension ref="E4:F18"/>
  <sheetViews>
    <sheetView tabSelected="1" workbookViewId="0">
      <selection activeCell="N11" sqref="N11"/>
    </sheetView>
  </sheetViews>
  <sheetFormatPr defaultRowHeight="14.4" x14ac:dyDescent="0.3"/>
  <cols>
    <col min="5" max="5" width="29" customWidth="1"/>
    <col min="6" max="6" width="14.109375" customWidth="1"/>
  </cols>
  <sheetData>
    <row r="4" spans="5:6" ht="21" x14ac:dyDescent="0.4">
      <c r="E4" s="6" t="s">
        <v>294</v>
      </c>
      <c r="F4" s="7"/>
    </row>
    <row r="5" spans="5:6" x14ac:dyDescent="0.3">
      <c r="E5" s="4"/>
      <c r="F5" s="4"/>
    </row>
    <row r="6" spans="5:6" ht="18" x14ac:dyDescent="0.35">
      <c r="E6" s="5" t="s">
        <v>285</v>
      </c>
      <c r="F6" s="5">
        <f>COUNTA([1]Clean_data!A2:A101)</f>
        <v>100</v>
      </c>
    </row>
    <row r="7" spans="5:6" ht="14.4" customHeight="1" x14ac:dyDescent="0.35">
      <c r="E7" s="5"/>
      <c r="F7" s="5"/>
    </row>
    <row r="8" spans="5:6" ht="18" x14ac:dyDescent="0.35">
      <c r="E8" s="5" t="s">
        <v>286</v>
      </c>
      <c r="F8" s="5">
        <v>5</v>
      </c>
    </row>
    <row r="9" spans="5:6" ht="18" x14ac:dyDescent="0.35">
      <c r="E9" s="5"/>
      <c r="F9" s="5"/>
    </row>
    <row r="10" spans="5:6" ht="18" x14ac:dyDescent="0.35">
      <c r="E10" s="5" t="s">
        <v>287</v>
      </c>
      <c r="F10" s="5">
        <f>COUNTBLANK('clean data'!C2:C101)</f>
        <v>6</v>
      </c>
    </row>
    <row r="11" spans="5:6" ht="18" x14ac:dyDescent="0.35">
      <c r="E11" s="5"/>
      <c r="F11" s="5"/>
    </row>
    <row r="12" spans="5:6" ht="18" x14ac:dyDescent="0.35">
      <c r="E12" s="5" t="s">
        <v>288</v>
      </c>
      <c r="F12" s="5">
        <f>COUNTBLANK('clean data'!F2:F101)</f>
        <v>8</v>
      </c>
    </row>
    <row r="13" spans="5:6" ht="18" x14ac:dyDescent="0.35">
      <c r="E13" s="5"/>
      <c r="F13" s="5"/>
    </row>
    <row r="14" spans="5:6" ht="18" x14ac:dyDescent="0.35">
      <c r="E14" s="5" t="s">
        <v>291</v>
      </c>
      <c r="F14" s="5">
        <f>COUNTIF('clean data'!E2:E101,"Valid")</f>
        <v>89</v>
      </c>
    </row>
    <row r="15" spans="5:6" ht="18" x14ac:dyDescent="0.35">
      <c r="E15" s="5"/>
      <c r="F15" s="5"/>
    </row>
    <row r="16" spans="5:6" ht="18" x14ac:dyDescent="0.35">
      <c r="E16" s="5" t="s">
        <v>292</v>
      </c>
      <c r="F16" s="5">
        <f>COUNTIF('clean data'!E2:E101,"Invalid")</f>
        <v>7</v>
      </c>
    </row>
    <row r="17" spans="5:6" ht="18" x14ac:dyDescent="0.35">
      <c r="E17" s="5"/>
      <c r="F17" s="5"/>
    </row>
    <row r="18" spans="5:6" ht="18" x14ac:dyDescent="0.35">
      <c r="E18" s="5" t="s">
        <v>293</v>
      </c>
      <c r="F18" s="5">
        <f>COUNTIF('clean data'!E2:E101,"Blank")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Verma</cp:lastModifiedBy>
  <dcterms:created xsi:type="dcterms:W3CDTF">2026-06-27T05:04:54Z</dcterms:created>
  <dcterms:modified xsi:type="dcterms:W3CDTF">2026-07-09T05:17:34Z</dcterms:modified>
</cp:coreProperties>
</file>